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nthipmac/Documents/"/>
    </mc:Choice>
  </mc:AlternateContent>
  <xr:revisionPtr revIDLastSave="0" documentId="8_{4EAADFDB-44B3-C74C-958D-8A633884421D}" xr6:coauthVersionLast="47" xr6:coauthVersionMax="47" xr10:uidLastSave="{00000000-0000-0000-0000-000000000000}"/>
  <bookViews>
    <workbookView xWindow="0" yWindow="760" windowWidth="29400" windowHeight="16980" activeTab="11" xr2:uid="{24359771-28EB-764D-AA17-AE43102DCDE2}"/>
  </bookViews>
  <sheets>
    <sheet name="0204" sheetId="1" r:id="rId1"/>
    <sheet name="1204" sheetId="2" r:id="rId2"/>
    <sheet name="2404" sheetId="3" r:id="rId3"/>
    <sheet name="2704" sheetId="4" r:id="rId4"/>
    <sheet name="3004" sheetId="5" r:id="rId5"/>
    <sheet name="0405" sheetId="6" r:id="rId6"/>
    <sheet name="0805" sheetId="7" r:id="rId7"/>
    <sheet name="0905" sheetId="8" r:id="rId8"/>
    <sheet name="1805" sheetId="9" r:id="rId9"/>
    <sheet name="2305" sheetId="10" r:id="rId10"/>
    <sheet name="3005" sheetId="11" r:id="rId11"/>
    <sheet name="3105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2" l="1"/>
  <c r="H3" i="12"/>
  <c r="J3" i="12"/>
  <c r="E4" i="12"/>
  <c r="H4" i="12"/>
  <c r="J4" i="12"/>
  <c r="E5" i="12"/>
  <c r="H5" i="12"/>
  <c r="J5" i="12"/>
  <c r="E6" i="12"/>
  <c r="H6" i="12"/>
  <c r="J6" i="12"/>
  <c r="E7" i="12"/>
  <c r="H7" i="12"/>
  <c r="J7" i="12"/>
  <c r="E8" i="12"/>
  <c r="H8" i="12"/>
  <c r="J8" i="12"/>
  <c r="E9" i="12"/>
  <c r="H9" i="12"/>
  <c r="J9" i="12"/>
  <c r="E10" i="12"/>
  <c r="H10" i="12"/>
  <c r="J10" i="12"/>
  <c r="E11" i="12"/>
  <c r="H11" i="12"/>
  <c r="J11" i="12"/>
  <c r="E12" i="12"/>
  <c r="H12" i="12"/>
  <c r="J12" i="12"/>
  <c r="E13" i="12"/>
  <c r="H13" i="12"/>
  <c r="J13" i="12"/>
  <c r="E14" i="12"/>
  <c r="H14" i="12"/>
  <c r="J14" i="12"/>
  <c r="E15" i="12"/>
  <c r="H15" i="12"/>
  <c r="J15" i="12"/>
  <c r="E16" i="12"/>
  <c r="H16" i="12"/>
  <c r="J16" i="12"/>
  <c r="E17" i="12"/>
  <c r="H17" i="12"/>
  <c r="J17" i="12"/>
  <c r="E18" i="12"/>
  <c r="H18" i="12"/>
  <c r="J18" i="12"/>
  <c r="E19" i="12"/>
  <c r="H19" i="12"/>
  <c r="J19" i="12"/>
  <c r="E20" i="12"/>
  <c r="H20" i="12"/>
  <c r="J20" i="12"/>
  <c r="E21" i="12"/>
  <c r="H21" i="12"/>
  <c r="J21" i="12"/>
  <c r="E22" i="12"/>
  <c r="H22" i="12"/>
  <c r="J22" i="12"/>
  <c r="E23" i="12"/>
  <c r="H23" i="12"/>
  <c r="J23" i="12"/>
  <c r="E24" i="12"/>
  <c r="H24" i="12"/>
  <c r="J24" i="12"/>
  <c r="B25" i="12"/>
  <c r="C25" i="12"/>
  <c r="D25" i="12"/>
  <c r="E3" i="11"/>
  <c r="H3" i="11"/>
  <c r="J3" i="11"/>
  <c r="E4" i="11"/>
  <c r="H4" i="11"/>
  <c r="J4" i="11"/>
  <c r="E5" i="11"/>
  <c r="H5" i="11"/>
  <c r="J5" i="11"/>
  <c r="E6" i="11"/>
  <c r="H6" i="11"/>
  <c r="J6" i="11"/>
  <c r="E7" i="11"/>
  <c r="H7" i="11"/>
  <c r="J7" i="11"/>
  <c r="E8" i="11"/>
  <c r="H8" i="11"/>
  <c r="J8" i="11"/>
  <c r="E9" i="11"/>
  <c r="H9" i="11"/>
  <c r="J9" i="11"/>
  <c r="E10" i="11"/>
  <c r="H10" i="11"/>
  <c r="J10" i="11"/>
  <c r="E11" i="11"/>
  <c r="H11" i="11"/>
  <c r="J11" i="11"/>
  <c r="E12" i="11"/>
  <c r="H12" i="11"/>
  <c r="J12" i="11"/>
  <c r="E13" i="11"/>
  <c r="H13" i="11"/>
  <c r="J13" i="11"/>
  <c r="E14" i="11"/>
  <c r="H14" i="11"/>
  <c r="J14" i="11"/>
  <c r="E15" i="11"/>
  <c r="H15" i="11"/>
  <c r="J15" i="11"/>
  <c r="E16" i="11"/>
  <c r="H16" i="11"/>
  <c r="J16" i="11"/>
  <c r="E17" i="11"/>
  <c r="H17" i="11"/>
  <c r="J17" i="11"/>
  <c r="E18" i="11"/>
  <c r="H18" i="11"/>
  <c r="J18" i="11"/>
  <c r="E19" i="11"/>
  <c r="H19" i="11"/>
  <c r="J19" i="11"/>
  <c r="E20" i="11"/>
  <c r="H20" i="11"/>
  <c r="J20" i="11"/>
  <c r="E21" i="11"/>
  <c r="H21" i="11"/>
  <c r="J21" i="11"/>
  <c r="E22" i="11"/>
  <c r="H22" i="11"/>
  <c r="J22" i="11"/>
  <c r="E23" i="11"/>
  <c r="H23" i="11"/>
  <c r="J23" i="11"/>
  <c r="E24" i="11"/>
  <c r="H24" i="11"/>
  <c r="J24" i="11"/>
  <c r="B25" i="11"/>
  <c r="C25" i="11"/>
  <c r="D25" i="11"/>
  <c r="E25" i="11"/>
  <c r="J25" i="11"/>
  <c r="E3" i="10"/>
  <c r="H3" i="10"/>
  <c r="J3" i="10"/>
  <c r="E4" i="10"/>
  <c r="H4" i="10"/>
  <c r="J4" i="10"/>
  <c r="E5" i="10"/>
  <c r="H5" i="10"/>
  <c r="J5" i="10"/>
  <c r="E6" i="10"/>
  <c r="H6" i="10"/>
  <c r="J6" i="10"/>
  <c r="E7" i="10"/>
  <c r="H7" i="10"/>
  <c r="J7" i="10"/>
  <c r="E8" i="10"/>
  <c r="H8" i="10"/>
  <c r="J8" i="10"/>
  <c r="E9" i="10"/>
  <c r="H9" i="10"/>
  <c r="J9" i="10"/>
  <c r="E10" i="10"/>
  <c r="H10" i="10"/>
  <c r="J10" i="10"/>
  <c r="E11" i="10"/>
  <c r="H11" i="10"/>
  <c r="J11" i="10"/>
  <c r="E12" i="10"/>
  <c r="H12" i="10"/>
  <c r="J12" i="10"/>
  <c r="E13" i="10"/>
  <c r="H13" i="10"/>
  <c r="J13" i="10"/>
  <c r="E14" i="10"/>
  <c r="H14" i="10"/>
  <c r="J14" i="10"/>
  <c r="E15" i="10"/>
  <c r="H15" i="10"/>
  <c r="J15" i="10"/>
  <c r="E16" i="10"/>
  <c r="H16" i="10"/>
  <c r="J16" i="10"/>
  <c r="E17" i="10"/>
  <c r="H17" i="10"/>
  <c r="J17" i="10"/>
  <c r="E18" i="10"/>
  <c r="H18" i="10"/>
  <c r="J18" i="10"/>
  <c r="E19" i="10"/>
  <c r="H19" i="10"/>
  <c r="J19" i="10"/>
  <c r="E20" i="10"/>
  <c r="H20" i="10"/>
  <c r="J20" i="10"/>
  <c r="E21" i="10"/>
  <c r="H21" i="10"/>
  <c r="J21" i="10"/>
  <c r="E22" i="10"/>
  <c r="H22" i="10"/>
  <c r="J22" i="10"/>
  <c r="E23" i="10"/>
  <c r="H23" i="10"/>
  <c r="J23" i="10"/>
  <c r="E24" i="10"/>
  <c r="H24" i="10"/>
  <c r="J24" i="10"/>
  <c r="B25" i="10"/>
  <c r="C25" i="10"/>
  <c r="D25" i="10"/>
  <c r="E25" i="10"/>
  <c r="J25" i="10"/>
  <c r="E3" i="9"/>
  <c r="H3" i="9"/>
  <c r="J3" i="9"/>
  <c r="E4" i="9"/>
  <c r="H4" i="9"/>
  <c r="J4" i="9"/>
  <c r="E5" i="9"/>
  <c r="H5" i="9"/>
  <c r="J5" i="9"/>
  <c r="E6" i="9"/>
  <c r="H6" i="9"/>
  <c r="J6" i="9"/>
  <c r="E7" i="9"/>
  <c r="H7" i="9"/>
  <c r="J7" i="9"/>
  <c r="E8" i="9"/>
  <c r="H8" i="9"/>
  <c r="J8" i="9"/>
  <c r="E9" i="9"/>
  <c r="H9" i="9"/>
  <c r="J9" i="9"/>
  <c r="E10" i="9"/>
  <c r="H10" i="9"/>
  <c r="J10" i="9"/>
  <c r="E11" i="9"/>
  <c r="H11" i="9"/>
  <c r="J11" i="9"/>
  <c r="E12" i="9"/>
  <c r="H12" i="9"/>
  <c r="J12" i="9"/>
  <c r="E13" i="9"/>
  <c r="H13" i="9"/>
  <c r="J13" i="9"/>
  <c r="E14" i="9"/>
  <c r="H14" i="9"/>
  <c r="J14" i="9"/>
  <c r="E15" i="9"/>
  <c r="H15" i="9"/>
  <c r="J15" i="9"/>
  <c r="E16" i="9"/>
  <c r="H16" i="9"/>
  <c r="J16" i="9"/>
  <c r="E17" i="9"/>
  <c r="H17" i="9"/>
  <c r="J17" i="9"/>
  <c r="E18" i="9"/>
  <c r="H18" i="9"/>
  <c r="J18" i="9"/>
  <c r="E19" i="9"/>
  <c r="H19" i="9"/>
  <c r="J19" i="9"/>
  <c r="E20" i="9"/>
  <c r="H20" i="9"/>
  <c r="J20" i="9"/>
  <c r="E21" i="9"/>
  <c r="H21" i="9"/>
  <c r="J21" i="9"/>
  <c r="E22" i="9"/>
  <c r="H22" i="9"/>
  <c r="J22" i="9"/>
  <c r="E23" i="9"/>
  <c r="H23" i="9"/>
  <c r="J23" i="9"/>
  <c r="E24" i="9"/>
  <c r="H24" i="9"/>
  <c r="J24" i="9"/>
  <c r="B25" i="9"/>
  <c r="C25" i="9"/>
  <c r="D25" i="9"/>
  <c r="E25" i="9"/>
  <c r="J25" i="9"/>
  <c r="E3" i="8"/>
  <c r="H3" i="8"/>
  <c r="J3" i="8"/>
  <c r="E4" i="8"/>
  <c r="H4" i="8"/>
  <c r="J4" i="8"/>
  <c r="E5" i="8"/>
  <c r="H5" i="8"/>
  <c r="J5" i="8"/>
  <c r="E6" i="8"/>
  <c r="H6" i="8"/>
  <c r="J6" i="8"/>
  <c r="E7" i="8"/>
  <c r="H7" i="8"/>
  <c r="J7" i="8"/>
  <c r="E8" i="8"/>
  <c r="H8" i="8"/>
  <c r="J8" i="8"/>
  <c r="E9" i="8"/>
  <c r="H9" i="8"/>
  <c r="J9" i="8"/>
  <c r="E10" i="8"/>
  <c r="H10" i="8"/>
  <c r="J10" i="8"/>
  <c r="E11" i="8"/>
  <c r="H11" i="8"/>
  <c r="J11" i="8"/>
  <c r="E12" i="8"/>
  <c r="H12" i="8"/>
  <c r="J12" i="8"/>
  <c r="E13" i="8"/>
  <c r="H13" i="8"/>
  <c r="J13" i="8"/>
  <c r="E14" i="8"/>
  <c r="H14" i="8"/>
  <c r="J14" i="8"/>
  <c r="E15" i="8"/>
  <c r="H15" i="8"/>
  <c r="J15" i="8"/>
  <c r="E16" i="8"/>
  <c r="H16" i="8"/>
  <c r="J16" i="8"/>
  <c r="E17" i="8"/>
  <c r="H17" i="8"/>
  <c r="J17" i="8"/>
  <c r="E18" i="8"/>
  <c r="H18" i="8"/>
  <c r="J18" i="8"/>
  <c r="E19" i="8"/>
  <c r="H19" i="8"/>
  <c r="J19" i="8"/>
  <c r="E20" i="8"/>
  <c r="H20" i="8"/>
  <c r="J20" i="8"/>
  <c r="E21" i="8"/>
  <c r="H21" i="8"/>
  <c r="J21" i="8"/>
  <c r="E22" i="8"/>
  <c r="H22" i="8"/>
  <c r="J22" i="8"/>
  <c r="E23" i="8"/>
  <c r="H23" i="8"/>
  <c r="J23" i="8"/>
  <c r="E24" i="8"/>
  <c r="H24" i="8"/>
  <c r="J24" i="8"/>
  <c r="B25" i="8"/>
  <c r="C25" i="8"/>
  <c r="D25" i="8"/>
  <c r="E25" i="8"/>
  <c r="J25" i="8"/>
  <c r="E3" i="7"/>
  <c r="H3" i="7"/>
  <c r="J3" i="7"/>
  <c r="E4" i="7"/>
  <c r="H4" i="7"/>
  <c r="J4" i="7"/>
  <c r="E5" i="7"/>
  <c r="H5" i="7"/>
  <c r="J5" i="7"/>
  <c r="E6" i="7"/>
  <c r="H6" i="7"/>
  <c r="J6" i="7"/>
  <c r="E7" i="7"/>
  <c r="H7" i="7"/>
  <c r="J7" i="7"/>
  <c r="E8" i="7"/>
  <c r="H8" i="7"/>
  <c r="J8" i="7"/>
  <c r="E9" i="7"/>
  <c r="H9" i="7"/>
  <c r="J9" i="7"/>
  <c r="E10" i="7"/>
  <c r="H10" i="7"/>
  <c r="J10" i="7"/>
  <c r="E11" i="7"/>
  <c r="H11" i="7"/>
  <c r="J11" i="7"/>
  <c r="E12" i="7"/>
  <c r="H12" i="7"/>
  <c r="J12" i="7"/>
  <c r="E13" i="7"/>
  <c r="H13" i="7"/>
  <c r="J13" i="7"/>
  <c r="E14" i="7"/>
  <c r="H14" i="7"/>
  <c r="J14" i="7"/>
  <c r="E15" i="7"/>
  <c r="H15" i="7"/>
  <c r="J15" i="7"/>
  <c r="E16" i="7"/>
  <c r="H16" i="7"/>
  <c r="J16" i="7"/>
  <c r="E17" i="7"/>
  <c r="H17" i="7"/>
  <c r="J17" i="7"/>
  <c r="E18" i="7"/>
  <c r="H18" i="7"/>
  <c r="J18" i="7"/>
  <c r="E19" i="7"/>
  <c r="H19" i="7"/>
  <c r="J19" i="7"/>
  <c r="E20" i="7"/>
  <c r="H20" i="7"/>
  <c r="J20" i="7"/>
  <c r="E21" i="7"/>
  <c r="H21" i="7"/>
  <c r="J21" i="7"/>
  <c r="E22" i="7"/>
  <c r="H22" i="7"/>
  <c r="J22" i="7"/>
  <c r="E23" i="7"/>
  <c r="H23" i="7"/>
  <c r="J23" i="7"/>
  <c r="E24" i="7"/>
  <c r="H24" i="7"/>
  <c r="J24" i="7"/>
  <c r="B25" i="7"/>
  <c r="C25" i="7"/>
  <c r="D25" i="7"/>
  <c r="E25" i="7"/>
  <c r="J25" i="7"/>
  <c r="E3" i="6"/>
  <c r="H3" i="6"/>
  <c r="J3" i="6"/>
  <c r="E4" i="6"/>
  <c r="H4" i="6"/>
  <c r="J4" i="6"/>
  <c r="E5" i="6"/>
  <c r="H5" i="6"/>
  <c r="J5" i="6"/>
  <c r="E6" i="6"/>
  <c r="H6" i="6"/>
  <c r="J6" i="6"/>
  <c r="E7" i="6"/>
  <c r="H7" i="6"/>
  <c r="J7" i="6"/>
  <c r="E8" i="6"/>
  <c r="H8" i="6"/>
  <c r="J8" i="6"/>
  <c r="E9" i="6"/>
  <c r="H9" i="6"/>
  <c r="J9" i="6"/>
  <c r="E10" i="6"/>
  <c r="H10" i="6"/>
  <c r="J10" i="6"/>
  <c r="E11" i="6"/>
  <c r="H11" i="6"/>
  <c r="J11" i="6"/>
  <c r="E12" i="6"/>
  <c r="H12" i="6"/>
  <c r="J12" i="6"/>
  <c r="E13" i="6"/>
  <c r="H13" i="6"/>
  <c r="J13" i="6"/>
  <c r="E14" i="6"/>
  <c r="H14" i="6"/>
  <c r="J14" i="6"/>
  <c r="E15" i="6"/>
  <c r="H15" i="6"/>
  <c r="J15" i="6"/>
  <c r="E16" i="6"/>
  <c r="H16" i="6"/>
  <c r="J16" i="6"/>
  <c r="E17" i="6"/>
  <c r="H17" i="6"/>
  <c r="J17" i="6"/>
  <c r="E18" i="6"/>
  <c r="H18" i="6"/>
  <c r="J18" i="6"/>
  <c r="E19" i="6"/>
  <c r="H19" i="6"/>
  <c r="J19" i="6"/>
  <c r="E20" i="6"/>
  <c r="H20" i="6"/>
  <c r="J20" i="6"/>
  <c r="E21" i="6"/>
  <c r="H21" i="6"/>
  <c r="J21" i="6"/>
  <c r="E22" i="6"/>
  <c r="H22" i="6"/>
  <c r="J22" i="6"/>
  <c r="E23" i="6"/>
  <c r="H23" i="6"/>
  <c r="J23" i="6"/>
  <c r="E24" i="6"/>
  <c r="H24" i="6"/>
  <c r="J24" i="6"/>
  <c r="B25" i="6"/>
  <c r="C25" i="6"/>
  <c r="D25" i="6"/>
  <c r="E25" i="6"/>
  <c r="J25" i="6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3" i="5"/>
  <c r="D25" i="5"/>
  <c r="C25" i="5"/>
  <c r="B25" i="5"/>
  <c r="H3" i="5"/>
  <c r="E3" i="5"/>
  <c r="E3" i="4"/>
  <c r="H3" i="4"/>
  <c r="J3" i="4"/>
  <c r="E4" i="4"/>
  <c r="H4" i="4"/>
  <c r="J4" i="4"/>
  <c r="E5" i="4"/>
  <c r="H5" i="4"/>
  <c r="J5" i="4"/>
  <c r="J25" i="4"/>
  <c r="E6" i="4"/>
  <c r="E25" i="4"/>
  <c r="H6" i="4"/>
  <c r="J6" i="4"/>
  <c r="E7" i="4"/>
  <c r="H7" i="4"/>
  <c r="J7" i="4"/>
  <c r="E8" i="4"/>
  <c r="H8" i="4"/>
  <c r="E9" i="4"/>
  <c r="H9" i="4"/>
  <c r="J9" i="4"/>
  <c r="E10" i="4"/>
  <c r="H10" i="4"/>
  <c r="J10" i="4"/>
  <c r="E11" i="4"/>
  <c r="H11" i="4"/>
  <c r="J11" i="4"/>
  <c r="E12" i="4"/>
  <c r="H12" i="4"/>
  <c r="J12" i="4"/>
  <c r="E13" i="4"/>
  <c r="H13" i="4"/>
  <c r="J13" i="4"/>
  <c r="E14" i="4"/>
  <c r="H14" i="4"/>
  <c r="J14" i="4"/>
  <c r="E15" i="4"/>
  <c r="H15" i="4"/>
  <c r="J15" i="4"/>
  <c r="E16" i="4"/>
  <c r="H16" i="4"/>
  <c r="J16" i="4"/>
  <c r="E17" i="4"/>
  <c r="H17" i="4"/>
  <c r="J17" i="4"/>
  <c r="E18" i="4"/>
  <c r="H18" i="4"/>
  <c r="J18" i="4"/>
  <c r="E19" i="4"/>
  <c r="H19" i="4"/>
  <c r="J19" i="4"/>
  <c r="E20" i="4"/>
  <c r="H20" i="4"/>
  <c r="J20" i="4"/>
  <c r="E21" i="4"/>
  <c r="H21" i="4"/>
  <c r="J21" i="4"/>
  <c r="E22" i="4"/>
  <c r="H22" i="4"/>
  <c r="J22" i="4"/>
  <c r="E23" i="4"/>
  <c r="H23" i="4"/>
  <c r="J23" i="4"/>
  <c r="E24" i="4"/>
  <c r="H24" i="4"/>
  <c r="J24" i="4"/>
  <c r="D25" i="4"/>
  <c r="C25" i="4"/>
  <c r="B25" i="4"/>
  <c r="E8" i="3"/>
  <c r="H4" i="3"/>
  <c r="H5" i="3"/>
  <c r="H6" i="3"/>
  <c r="H7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J4" i="3"/>
  <c r="J5" i="3"/>
  <c r="J6" i="3"/>
  <c r="J7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3" i="3"/>
  <c r="J25" i="3"/>
  <c r="E3" i="3"/>
  <c r="E4" i="3"/>
  <c r="E5" i="3"/>
  <c r="E6" i="3"/>
  <c r="E7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D25" i="3"/>
  <c r="C25" i="3"/>
  <c r="B25" i="3"/>
  <c r="H3" i="3"/>
  <c r="E15" i="2"/>
  <c r="E24" i="2"/>
  <c r="E23" i="2"/>
  <c r="J28" i="2"/>
  <c r="H28" i="2"/>
  <c r="E28" i="2"/>
  <c r="D25" i="2"/>
  <c r="C25" i="2"/>
  <c r="B25" i="2"/>
  <c r="J24" i="2"/>
  <c r="H24" i="2"/>
  <c r="J23" i="2"/>
  <c r="H23" i="2"/>
  <c r="J22" i="2"/>
  <c r="H22" i="2"/>
  <c r="E22" i="2"/>
  <c r="J21" i="2"/>
  <c r="H21" i="2"/>
  <c r="E21" i="2"/>
  <c r="J20" i="2"/>
  <c r="H20" i="2"/>
  <c r="E20" i="2"/>
  <c r="J19" i="2"/>
  <c r="H19" i="2"/>
  <c r="E19" i="2"/>
  <c r="J18" i="2"/>
  <c r="H18" i="2"/>
  <c r="E18" i="2"/>
  <c r="J17" i="2"/>
  <c r="H17" i="2"/>
  <c r="E17" i="2"/>
  <c r="J16" i="2"/>
  <c r="H16" i="2"/>
  <c r="E16" i="2"/>
  <c r="J15" i="2"/>
  <c r="H15" i="2"/>
  <c r="J14" i="2"/>
  <c r="H14" i="2"/>
  <c r="E14" i="2"/>
  <c r="J13" i="2"/>
  <c r="H13" i="2"/>
  <c r="E13" i="2"/>
  <c r="J12" i="2"/>
  <c r="H12" i="2"/>
  <c r="E12" i="2"/>
  <c r="J11" i="2"/>
  <c r="H11" i="2"/>
  <c r="E11" i="2"/>
  <c r="J10" i="2"/>
  <c r="H10" i="2"/>
  <c r="E10" i="2"/>
  <c r="J9" i="2"/>
  <c r="H9" i="2"/>
  <c r="E9" i="2"/>
  <c r="J8" i="2"/>
  <c r="H8" i="2"/>
  <c r="E8" i="2"/>
  <c r="J7" i="2"/>
  <c r="H7" i="2"/>
  <c r="E7" i="2"/>
  <c r="J6" i="2"/>
  <c r="H6" i="2"/>
  <c r="E6" i="2"/>
  <c r="J5" i="2"/>
  <c r="H5" i="2"/>
  <c r="E5" i="2"/>
  <c r="J4" i="2"/>
  <c r="H4" i="2"/>
  <c r="E4" i="2"/>
  <c r="J3" i="2"/>
  <c r="H3" i="2"/>
  <c r="E3" i="2"/>
  <c r="J28" i="1"/>
  <c r="H28" i="1"/>
  <c r="E28" i="1"/>
  <c r="D25" i="1"/>
  <c r="C25" i="1"/>
  <c r="B25" i="1"/>
  <c r="J24" i="1"/>
  <c r="H24" i="1"/>
  <c r="E24" i="1"/>
  <c r="J23" i="1"/>
  <c r="H23" i="1"/>
  <c r="E23" i="1"/>
  <c r="J22" i="1"/>
  <c r="H22" i="1"/>
  <c r="E22" i="1"/>
  <c r="J21" i="1"/>
  <c r="H21" i="1"/>
  <c r="E21" i="1"/>
  <c r="J20" i="1"/>
  <c r="H20" i="1"/>
  <c r="E20" i="1"/>
  <c r="J19" i="1"/>
  <c r="H19" i="1"/>
  <c r="E19" i="1"/>
  <c r="J18" i="1"/>
  <c r="H18" i="1"/>
  <c r="E18" i="1"/>
  <c r="J17" i="1"/>
  <c r="H17" i="1"/>
  <c r="E17" i="1"/>
  <c r="J16" i="1"/>
  <c r="H16" i="1"/>
  <c r="E16" i="1"/>
  <c r="J15" i="1"/>
  <c r="H15" i="1"/>
  <c r="E15" i="1"/>
  <c r="J14" i="1"/>
  <c r="H14" i="1"/>
  <c r="E14" i="1"/>
  <c r="J13" i="1"/>
  <c r="H13" i="1"/>
  <c r="E13" i="1"/>
  <c r="J12" i="1"/>
  <c r="H12" i="1"/>
  <c r="E12" i="1"/>
  <c r="J11" i="1"/>
  <c r="H11" i="1"/>
  <c r="E11" i="1"/>
  <c r="J10" i="1"/>
  <c r="H10" i="1"/>
  <c r="E10" i="1"/>
  <c r="J9" i="1"/>
  <c r="H9" i="1"/>
  <c r="E9" i="1"/>
  <c r="J8" i="1"/>
  <c r="H8" i="1"/>
  <c r="E8" i="1"/>
  <c r="J7" i="1"/>
  <c r="H7" i="1"/>
  <c r="E7" i="1"/>
  <c r="J6" i="1"/>
  <c r="H6" i="1"/>
  <c r="E6" i="1"/>
  <c r="J5" i="1"/>
  <c r="H5" i="1"/>
  <c r="E5" i="1"/>
  <c r="J4" i="1"/>
  <c r="H4" i="1"/>
  <c r="E4" i="1"/>
  <c r="J3" i="1"/>
  <c r="H3" i="1"/>
  <c r="E3" i="1"/>
  <c r="E25" i="2"/>
  <c r="J25" i="2"/>
  <c r="J25" i="1"/>
  <c r="E25" i="1"/>
  <c r="J25" i="5"/>
  <c r="E25" i="5"/>
  <c r="J25" i="12" l="1"/>
  <c r="E25" i="12"/>
</calcChain>
</file>

<file path=xl/sharedStrings.xml><?xml version="1.0" encoding="utf-8"?>
<sst xmlns="http://schemas.openxmlformats.org/spreadsheetml/2006/main" count="418" uniqueCount="50">
  <si>
    <t>ธนาคาร</t>
  </si>
  <si>
    <t>ยอดยกมา</t>
  </si>
  <si>
    <t>ยอดรับโอน</t>
  </si>
  <si>
    <t>ยอดหักถอน</t>
  </si>
  <si>
    <t>ยอดคงเหลือ</t>
  </si>
  <si>
    <t>จำนวนครั้ง
ยกมา</t>
  </si>
  <si>
    <t>จำนวนครั้ง</t>
  </si>
  <si>
    <t>จำนวนครั้ง
สะสม</t>
  </si>
  <si>
    <t>ยอดสะสม</t>
  </si>
  <si>
    <t>ยอดสะสม
คงเหลือ</t>
  </si>
  <si>
    <t xml:space="preserve">กสิกร จุ๊บ  💚 </t>
  </si>
  <si>
    <t xml:space="preserve">กรุงเทพจุ๊บ  💙 </t>
  </si>
  <si>
    <t xml:space="preserve">scb จุ๊บ 💜 </t>
  </si>
  <si>
    <t>เกียรตินาคินจุ๊บ  🩶</t>
  </si>
  <si>
    <t xml:space="preserve"> TTB จุ๊บ  🧡 </t>
  </si>
  <si>
    <t xml:space="preserve">กรุงไทยจุ๊บ  🩵 </t>
  </si>
  <si>
    <t>ออมสินจุ๊บ  🩷</t>
  </si>
  <si>
    <t>ธอส.จุ๊บ  ❤️</t>
  </si>
  <si>
    <t xml:space="preserve"> </t>
  </si>
  <si>
    <t>ธกส.จุ๊บ  🤎</t>
  </si>
  <si>
    <t xml:space="preserve">  </t>
  </si>
  <si>
    <t xml:space="preserve"> กรุงศรีจุ๊บ  💛</t>
  </si>
  <si>
    <t xml:space="preserve">         </t>
  </si>
  <si>
    <t xml:space="preserve">   </t>
  </si>
  <si>
    <t xml:space="preserve">กรุงไทยมอส  🩵 </t>
  </si>
  <si>
    <t xml:space="preserve">กรุงศรีมอส  💛 </t>
  </si>
  <si>
    <t xml:space="preserve">กสิกรมอส  💚 </t>
  </si>
  <si>
    <t xml:space="preserve">      </t>
  </si>
  <si>
    <t xml:space="preserve">กรุงเทพ มอส  💙 </t>
  </si>
  <si>
    <t xml:space="preserve">SCB มอส  💜 </t>
  </si>
  <si>
    <t xml:space="preserve">ออมสินมอส  🩷 </t>
  </si>
  <si>
    <t xml:space="preserve">กรุงเทพมิว  💙 </t>
  </si>
  <si>
    <t xml:space="preserve">TTB มิว  🧡 </t>
  </si>
  <si>
    <t xml:space="preserve">กรุงศรีมิว  💛 </t>
  </si>
  <si>
    <t xml:space="preserve">ออมสินมิว  🩷 </t>
  </si>
  <si>
    <t xml:space="preserve">กรุงไทยมิว  🩵 </t>
  </si>
  <si>
    <t xml:space="preserve">กสิกรจำปา  💚 </t>
  </si>
  <si>
    <t xml:space="preserve">กสิกร จุ๊บ  💚 โกนาว </t>
  </si>
  <si>
    <t>วันที่ 2/4/69</t>
  </si>
  <si>
    <t>วันที่ 11/4/69</t>
  </si>
  <si>
    <t>วันที่ 24/4/69</t>
  </si>
  <si>
    <t>วันที่ 27/4/69</t>
  </si>
  <si>
    <t>วันที่ 30/4/69</t>
  </si>
  <si>
    <t>วันที่ 4/4/69</t>
  </si>
  <si>
    <t>วันที่ 8/5/69</t>
  </si>
  <si>
    <t>วันที่ 9/5/69</t>
  </si>
  <si>
    <t>วันที่ 18/5/69</t>
  </si>
  <si>
    <t>วันที่ 23/5/69</t>
  </si>
  <si>
    <t>วันที่ 30/5/69</t>
  </si>
  <si>
    <t>วันที่ 31/5/69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</si>
</sst>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87" formatCode="_(* #,##0_);_(* \(#,##0\);_(* &quot;-&quot;??_);_(@_)"/>
    <numFmt numFmtId="188" formatCode="_(* #,##0.000_);_(* \(#,##0.000\);_(* &quot;-&quot;??_);_(@_)"/>
  </numFmts>
  <fonts count="4" x14ac:knownFonts="1">
    <font>
      <sz val="12"/>
      <color theme="1"/>
      <name val="Tahoma"/>
      <family val="2"/>
      <charset val="222"/>
      <scheme val="minor"/>
    </font>
    <font>
      <sz val="14"/>
      <color rgb="FF000000"/>
      <name val="Angsana New"/>
      <family val="1"/>
    </font>
    <font>
      <sz val="14"/>
      <color theme="1"/>
      <name val="Angsana New"/>
      <family val="1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double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/>
    <xf numFmtId="4" fontId="1" fillId="0" borderId="3" xfId="0" applyNumberFormat="1" applyFont="1" applyBorder="1"/>
    <xf numFmtId="187" fontId="1" fillId="0" borderId="4" xfId="0" applyNumberFormat="1" applyFont="1" applyBorder="1"/>
    <xf numFmtId="43" fontId="1" fillId="0" borderId="3" xfId="0" applyNumberFormat="1" applyFont="1" applyBorder="1"/>
    <xf numFmtId="4" fontId="1" fillId="0" borderId="4" xfId="0" applyNumberFormat="1" applyFont="1" applyBorder="1"/>
    <xf numFmtId="0" fontId="1" fillId="0" borderId="3" xfId="0" applyFont="1" applyBorder="1"/>
    <xf numFmtId="187" fontId="1" fillId="0" borderId="5" xfId="0" applyNumberFormat="1" applyFont="1" applyBorder="1"/>
    <xf numFmtId="3" fontId="1" fillId="0" borderId="3" xfId="0" applyNumberFormat="1" applyFont="1" applyBorder="1"/>
    <xf numFmtId="0" fontId="1" fillId="2" borderId="6" xfId="0" applyFont="1" applyFill="1" applyBorder="1"/>
    <xf numFmtId="4" fontId="1" fillId="0" borderId="6" xfId="0" applyNumberFormat="1" applyFont="1" applyBorder="1"/>
    <xf numFmtId="187" fontId="1" fillId="0" borderId="7" xfId="0" applyNumberFormat="1" applyFont="1" applyBorder="1"/>
    <xf numFmtId="43" fontId="1" fillId="0" borderId="6" xfId="0" applyNumberFormat="1" applyFont="1" applyBorder="1"/>
    <xf numFmtId="0" fontId="1" fillId="0" borderId="6" xfId="0" applyFont="1" applyBorder="1"/>
    <xf numFmtId="187" fontId="1" fillId="0" borderId="8" xfId="0" applyNumberFormat="1" applyFont="1" applyBorder="1"/>
    <xf numFmtId="43" fontId="1" fillId="0" borderId="7" xfId="0" applyNumberFormat="1" applyFont="1" applyBorder="1"/>
    <xf numFmtId="0" fontId="2" fillId="2" borderId="0" xfId="0" applyFont="1" applyFill="1"/>
    <xf numFmtId="4" fontId="1" fillId="2" borderId="6" xfId="0" applyNumberFormat="1" applyFont="1" applyFill="1" applyBorder="1"/>
    <xf numFmtId="20" fontId="2" fillId="0" borderId="0" xfId="0" applyNumberFormat="1" applyFont="1"/>
    <xf numFmtId="4" fontId="1" fillId="2" borderId="1" xfId="0" applyNumberFormat="1" applyFont="1" applyFill="1" applyBorder="1"/>
    <xf numFmtId="187" fontId="1" fillId="0" borderId="9" xfId="0" applyNumberFormat="1" applyFont="1" applyBorder="1"/>
    <xf numFmtId="4" fontId="1" fillId="0" borderId="10" xfId="0" applyNumberFormat="1" applyFont="1" applyBorder="1"/>
    <xf numFmtId="187" fontId="1" fillId="0" borderId="11" xfId="0" applyNumberFormat="1" applyFont="1" applyBorder="1" applyAlignment="1">
      <alignment horizontal="right"/>
    </xf>
    <xf numFmtId="187" fontId="1" fillId="0" borderId="11" xfId="0" applyNumberFormat="1" applyFont="1" applyBorder="1"/>
    <xf numFmtId="3" fontId="2" fillId="0" borderId="0" xfId="0" applyNumberFormat="1" applyFont="1"/>
    <xf numFmtId="187" fontId="1" fillId="0" borderId="6" xfId="0" applyNumberFormat="1" applyFont="1" applyBorder="1"/>
    <xf numFmtId="188" fontId="1" fillId="0" borderId="3" xfId="0" applyNumberFormat="1" applyFont="1" applyBorder="1"/>
    <xf numFmtId="43" fontId="1" fillId="0" borderId="4" xfId="0" applyNumberFormat="1" applyFont="1" applyBorder="1"/>
    <xf numFmtId="0" fontId="1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F41B-7C2F-3F49-B212-F6C345169D87}">
  <dimension ref="A1:P28"/>
  <sheetViews>
    <sheetView zoomScaleNormal="110" workbookViewId="0">
      <selection sqref="A1:XFD1048576"/>
    </sheetView>
  </sheetViews>
  <sheetFormatPr baseColWidth="10" defaultColWidth="7.5703125" defaultRowHeight="15" x14ac:dyDescent="0.15"/>
  <cols>
    <col min="1" max="1" width="19.42578125" customWidth="1"/>
    <col min="2" max="2" width="10.5703125" customWidth="1"/>
    <col min="3" max="3" width="8.7109375" customWidth="1"/>
    <col min="4" max="4" width="9.140625" customWidth="1"/>
    <col min="5" max="5" width="9.28515625" customWidth="1"/>
    <col min="6" max="6" width="9.5703125" customWidth="1"/>
    <col min="7" max="7" width="9.85546875" customWidth="1"/>
    <col min="8" max="8" width="11.5703125" customWidth="1"/>
    <col min="9" max="9" width="10.85546875" customWidth="1"/>
    <col min="10" max="10" width="12" customWidth="1"/>
  </cols>
  <sheetData>
    <row r="1" spans="1:16" ht="21" x14ac:dyDescent="0.35">
      <c r="A1" s="31" t="s">
        <v>38</v>
      </c>
      <c r="B1" s="31"/>
      <c r="C1" s="31"/>
      <c r="D1" s="31"/>
      <c r="E1" s="31"/>
      <c r="F1" s="31"/>
      <c r="G1" s="31"/>
      <c r="H1" s="31"/>
      <c r="I1" s="31"/>
      <c r="J1" s="31"/>
      <c r="K1" s="1"/>
      <c r="L1" s="1"/>
      <c r="M1" s="1"/>
      <c r="N1" s="1"/>
      <c r="O1" s="1"/>
      <c r="P1" s="1"/>
    </row>
    <row r="2" spans="1:16" ht="44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9</v>
      </c>
      <c r="K2" s="1"/>
      <c r="L2" s="1"/>
      <c r="M2" s="1"/>
      <c r="N2" s="1"/>
      <c r="O2" s="1"/>
      <c r="P2" s="1"/>
    </row>
    <row r="3" spans="1:16" ht="21" x14ac:dyDescent="0.35">
      <c r="A3" s="4" t="s">
        <v>10</v>
      </c>
      <c r="B3" s="5">
        <v>1048.4300000000003</v>
      </c>
      <c r="C3" s="6"/>
      <c r="D3" s="7">
        <v>850</v>
      </c>
      <c r="E3" s="8">
        <f t="shared" ref="E3:E24" si="0">B3+C3-D3</f>
        <v>198.43000000000029</v>
      </c>
      <c r="F3" s="9">
        <v>19</v>
      </c>
      <c r="G3" s="10"/>
      <c r="H3" s="6">
        <f t="shared" ref="H3:H24" si="1">F3+G3</f>
        <v>19</v>
      </c>
      <c r="I3" s="11">
        <v>371740</v>
      </c>
      <c r="J3" s="11">
        <f t="shared" ref="J3:J24" si="2">I3+C3</f>
        <v>371740</v>
      </c>
      <c r="K3" s="1"/>
      <c r="L3" s="1"/>
      <c r="M3" s="1"/>
      <c r="N3" s="1"/>
      <c r="O3" s="1"/>
      <c r="P3" s="1"/>
    </row>
    <row r="4" spans="1:16" ht="21" x14ac:dyDescent="0.35">
      <c r="A4" s="12" t="s">
        <v>11</v>
      </c>
      <c r="B4" s="13">
        <v>6250.8899999999958</v>
      </c>
      <c r="C4" s="14">
        <v>3050</v>
      </c>
      <c r="D4" s="15">
        <v>300</v>
      </c>
      <c r="E4" s="8">
        <f t="shared" si="0"/>
        <v>9000.8899999999958</v>
      </c>
      <c r="F4" s="16">
        <v>60</v>
      </c>
      <c r="G4" s="17">
        <v>3</v>
      </c>
      <c r="H4" s="6">
        <f t="shared" si="1"/>
        <v>63</v>
      </c>
      <c r="I4" s="11">
        <v>108089</v>
      </c>
      <c r="J4" s="11">
        <f t="shared" si="2"/>
        <v>111139</v>
      </c>
      <c r="K4" s="1"/>
      <c r="L4" s="1"/>
      <c r="M4" s="1"/>
      <c r="N4" s="1"/>
      <c r="O4" s="1"/>
      <c r="P4" s="1"/>
    </row>
    <row r="5" spans="1:16" ht="21" x14ac:dyDescent="0.35">
      <c r="A5" s="12" t="s">
        <v>12</v>
      </c>
      <c r="B5" s="13">
        <v>11165.02</v>
      </c>
      <c r="C5" s="14">
        <v>14967</v>
      </c>
      <c r="D5" s="15">
        <v>8000</v>
      </c>
      <c r="E5" s="8">
        <f t="shared" si="0"/>
        <v>18132.02</v>
      </c>
      <c r="F5" s="16">
        <v>38</v>
      </c>
      <c r="G5" s="17">
        <v>3</v>
      </c>
      <c r="H5" s="6">
        <f t="shared" si="1"/>
        <v>41</v>
      </c>
      <c r="I5" s="11">
        <v>64177</v>
      </c>
      <c r="J5" s="11">
        <f t="shared" si="2"/>
        <v>79144</v>
      </c>
      <c r="K5" s="1"/>
      <c r="L5" s="1"/>
      <c r="M5" s="1"/>
      <c r="N5" s="1"/>
      <c r="O5" s="1"/>
      <c r="P5" s="1"/>
    </row>
    <row r="6" spans="1:16" ht="21" x14ac:dyDescent="0.35">
      <c r="A6" s="12" t="s">
        <v>13</v>
      </c>
      <c r="B6" s="13">
        <v>2513.7200000000012</v>
      </c>
      <c r="C6" s="18"/>
      <c r="D6" s="15"/>
      <c r="E6" s="8">
        <f t="shared" si="0"/>
        <v>2513.7200000000012</v>
      </c>
      <c r="F6" s="16">
        <v>225</v>
      </c>
      <c r="G6" s="17"/>
      <c r="H6" s="6">
        <f t="shared" si="1"/>
        <v>225</v>
      </c>
      <c r="I6" s="11">
        <v>106624</v>
      </c>
      <c r="J6" s="11">
        <f t="shared" si="2"/>
        <v>106624</v>
      </c>
      <c r="K6" s="1"/>
      <c r="L6" s="1"/>
      <c r="M6" s="1"/>
      <c r="N6" s="1"/>
      <c r="O6" s="1"/>
      <c r="P6" s="1"/>
    </row>
    <row r="7" spans="1:16" ht="21" x14ac:dyDescent="0.35">
      <c r="A7" s="12" t="s">
        <v>14</v>
      </c>
      <c r="B7" s="13">
        <v>16426.23</v>
      </c>
      <c r="C7" s="14">
        <v>3095.5</v>
      </c>
      <c r="D7" s="15">
        <v>50</v>
      </c>
      <c r="E7" s="8">
        <f>B7+C7-D7</f>
        <v>19471.73</v>
      </c>
      <c r="F7" s="16">
        <v>52</v>
      </c>
      <c r="G7" s="17">
        <v>2</v>
      </c>
      <c r="H7" s="6">
        <f t="shared" si="1"/>
        <v>54</v>
      </c>
      <c r="I7" s="11">
        <v>266912.5</v>
      </c>
      <c r="J7" s="11">
        <f t="shared" si="2"/>
        <v>270008</v>
      </c>
      <c r="K7" s="1"/>
      <c r="L7" s="1"/>
      <c r="M7" s="1"/>
      <c r="N7" s="1"/>
      <c r="O7" s="1"/>
      <c r="P7" s="1"/>
    </row>
    <row r="8" spans="1:16" ht="21" x14ac:dyDescent="0.35">
      <c r="A8" s="12" t="s">
        <v>15</v>
      </c>
      <c r="B8" s="13">
        <v>2183.0400000000009</v>
      </c>
      <c r="C8" s="14">
        <v>5985</v>
      </c>
      <c r="D8" s="15"/>
      <c r="E8" s="8">
        <f t="shared" si="0"/>
        <v>8168.0400000000009</v>
      </c>
      <c r="F8" s="16">
        <v>225</v>
      </c>
      <c r="G8" s="17">
        <v>19</v>
      </c>
      <c r="H8" s="6">
        <f t="shared" si="1"/>
        <v>244</v>
      </c>
      <c r="I8" s="11">
        <v>95855</v>
      </c>
      <c r="J8" s="11">
        <f t="shared" si="2"/>
        <v>101840</v>
      </c>
      <c r="K8" s="1"/>
      <c r="L8" s="1"/>
      <c r="M8" s="1"/>
      <c r="N8" s="1"/>
      <c r="O8" s="1"/>
      <c r="P8" s="1"/>
    </row>
    <row r="9" spans="1:16" ht="21" x14ac:dyDescent="0.35">
      <c r="A9" s="12" t="s">
        <v>16</v>
      </c>
      <c r="B9" s="13">
        <v>6103.2700000000041</v>
      </c>
      <c r="C9" s="14">
        <v>2710</v>
      </c>
      <c r="D9" s="15">
        <v>5055</v>
      </c>
      <c r="E9" s="8">
        <f t="shared" si="0"/>
        <v>3758.2700000000041</v>
      </c>
      <c r="F9" s="16">
        <v>116</v>
      </c>
      <c r="G9" s="17">
        <v>2</v>
      </c>
      <c r="H9" s="6">
        <f t="shared" si="1"/>
        <v>118</v>
      </c>
      <c r="I9" s="11">
        <v>139205</v>
      </c>
      <c r="J9" s="11">
        <f t="shared" si="2"/>
        <v>141915</v>
      </c>
      <c r="K9" s="1"/>
      <c r="L9" s="1"/>
      <c r="M9" s="1"/>
      <c r="N9" s="1"/>
      <c r="O9" s="1"/>
      <c r="P9" s="1"/>
    </row>
    <row r="10" spans="1:16" ht="21" x14ac:dyDescent="0.35">
      <c r="A10" s="12" t="s">
        <v>17</v>
      </c>
      <c r="B10" s="13">
        <v>5176.4500000000007</v>
      </c>
      <c r="C10" s="14">
        <v>315</v>
      </c>
      <c r="D10" s="15"/>
      <c r="E10" s="8">
        <f t="shared" si="0"/>
        <v>5491.4500000000007</v>
      </c>
      <c r="F10" s="16">
        <v>375</v>
      </c>
      <c r="G10" s="17">
        <v>1</v>
      </c>
      <c r="H10" s="6">
        <f t="shared" si="1"/>
        <v>376</v>
      </c>
      <c r="I10" s="11">
        <v>131670</v>
      </c>
      <c r="J10" s="11">
        <f t="shared" si="2"/>
        <v>131985</v>
      </c>
      <c r="K10" s="1"/>
      <c r="L10" s="1"/>
      <c r="M10" s="1"/>
      <c r="N10" s="1"/>
      <c r="O10" s="1" t="s">
        <v>18</v>
      </c>
      <c r="P10" s="1"/>
    </row>
    <row r="11" spans="1:16" ht="21" x14ac:dyDescent="0.35">
      <c r="A11" s="12" t="s">
        <v>19</v>
      </c>
      <c r="B11" s="15">
        <v>2641.09</v>
      </c>
      <c r="C11" s="18">
        <v>4725</v>
      </c>
      <c r="D11" s="15">
        <v>4110</v>
      </c>
      <c r="E11" s="8">
        <f t="shared" si="0"/>
        <v>3256.09</v>
      </c>
      <c r="F11" s="16">
        <v>356</v>
      </c>
      <c r="G11" s="17">
        <v>11</v>
      </c>
      <c r="H11" s="6">
        <f t="shared" si="1"/>
        <v>367</v>
      </c>
      <c r="I11" s="11">
        <v>169025.69</v>
      </c>
      <c r="J11" s="11">
        <f t="shared" si="2"/>
        <v>173750.69</v>
      </c>
      <c r="K11" s="1"/>
      <c r="L11" s="1" t="s">
        <v>20</v>
      </c>
      <c r="M11" s="1"/>
      <c r="N11" s="1"/>
      <c r="O11" s="1"/>
      <c r="P11" s="1"/>
    </row>
    <row r="12" spans="1:16" ht="21" x14ac:dyDescent="0.35">
      <c r="A12" s="19" t="s">
        <v>21</v>
      </c>
      <c r="B12" s="13">
        <v>26760.119999999995</v>
      </c>
      <c r="C12" s="14">
        <v>1221</v>
      </c>
      <c r="D12" s="15">
        <v>22000</v>
      </c>
      <c r="E12" s="8">
        <f t="shared" si="0"/>
        <v>5981.1199999999953</v>
      </c>
      <c r="F12" s="16">
        <v>256</v>
      </c>
      <c r="G12" s="17">
        <v>2</v>
      </c>
      <c r="H12" s="6">
        <f t="shared" si="1"/>
        <v>258</v>
      </c>
      <c r="I12" s="11">
        <v>193402</v>
      </c>
      <c r="J12" s="11">
        <f t="shared" si="2"/>
        <v>194623</v>
      </c>
      <c r="K12" s="1" t="s">
        <v>22</v>
      </c>
      <c r="L12" s="1" t="s">
        <v>23</v>
      </c>
      <c r="M12" s="1" t="s">
        <v>18</v>
      </c>
      <c r="N12" s="1" t="s">
        <v>20</v>
      </c>
      <c r="O12" s="1"/>
      <c r="P12" s="1"/>
    </row>
    <row r="13" spans="1:16" ht="21" x14ac:dyDescent="0.35">
      <c r="A13" s="12" t="s">
        <v>24</v>
      </c>
      <c r="B13" s="20">
        <v>1803.2200000000012</v>
      </c>
      <c r="C13" s="14"/>
      <c r="D13" s="15"/>
      <c r="E13" s="8">
        <f t="shared" si="0"/>
        <v>1803.2200000000012</v>
      </c>
      <c r="F13" s="16">
        <v>202</v>
      </c>
      <c r="G13" s="17"/>
      <c r="H13" s="6">
        <f t="shared" si="1"/>
        <v>202</v>
      </c>
      <c r="I13" s="11">
        <v>145046</v>
      </c>
      <c r="J13" s="11">
        <f t="shared" si="2"/>
        <v>145046</v>
      </c>
      <c r="K13" s="1"/>
      <c r="L13" s="1"/>
      <c r="M13" s="1"/>
      <c r="N13" s="1"/>
      <c r="O13" s="1"/>
      <c r="P13" s="1"/>
    </row>
    <row r="14" spans="1:16" ht="21" x14ac:dyDescent="0.35">
      <c r="A14" s="12" t="s">
        <v>25</v>
      </c>
      <c r="B14" s="20">
        <v>4735.1700000000019</v>
      </c>
      <c r="C14" s="14">
        <v>5255</v>
      </c>
      <c r="D14" s="15"/>
      <c r="E14" s="8">
        <f t="shared" si="0"/>
        <v>9990.1700000000019</v>
      </c>
      <c r="F14" s="16">
        <v>196</v>
      </c>
      <c r="G14" s="17">
        <v>6</v>
      </c>
      <c r="H14" s="6">
        <f t="shared" si="1"/>
        <v>202</v>
      </c>
      <c r="I14" s="11">
        <v>96129.86</v>
      </c>
      <c r="J14" s="11">
        <f t="shared" si="2"/>
        <v>101384.86</v>
      </c>
      <c r="K14" s="1"/>
      <c r="L14" s="1"/>
      <c r="M14" s="1"/>
      <c r="N14" s="1"/>
      <c r="O14" s="1"/>
      <c r="P14" s="1"/>
    </row>
    <row r="15" spans="1:16" ht="21" x14ac:dyDescent="0.35">
      <c r="A15" s="12" t="s">
        <v>26</v>
      </c>
      <c r="B15" s="20">
        <v>16771.620000000003</v>
      </c>
      <c r="C15" s="14">
        <v>5265</v>
      </c>
      <c r="D15" s="15"/>
      <c r="E15" s="8">
        <f t="shared" si="0"/>
        <v>22036.620000000003</v>
      </c>
      <c r="F15" s="16">
        <v>300</v>
      </c>
      <c r="G15" s="17">
        <v>6</v>
      </c>
      <c r="H15" s="6">
        <f t="shared" si="1"/>
        <v>306</v>
      </c>
      <c r="I15" s="11">
        <v>117935</v>
      </c>
      <c r="J15" s="11">
        <f t="shared" si="2"/>
        <v>123200</v>
      </c>
      <c r="K15" s="1" t="s">
        <v>27</v>
      </c>
      <c r="L15" s="1" t="s">
        <v>18</v>
      </c>
      <c r="M15" s="1"/>
      <c r="N15" s="1"/>
      <c r="O15" s="1"/>
      <c r="P15" s="1"/>
    </row>
    <row r="16" spans="1:16" ht="21" x14ac:dyDescent="0.35">
      <c r="A16" s="12" t="s">
        <v>28</v>
      </c>
      <c r="B16" s="20">
        <v>7850.0400000000009</v>
      </c>
      <c r="C16" s="14">
        <v>5830</v>
      </c>
      <c r="D16" s="15">
        <v>5155</v>
      </c>
      <c r="E16" s="8">
        <f t="shared" si="0"/>
        <v>8525.0400000000009</v>
      </c>
      <c r="F16" s="16">
        <v>380</v>
      </c>
      <c r="G16" s="17">
        <v>10</v>
      </c>
      <c r="H16" s="6">
        <f t="shared" si="1"/>
        <v>390</v>
      </c>
      <c r="I16" s="11">
        <v>172890</v>
      </c>
      <c r="J16" s="11">
        <f t="shared" si="2"/>
        <v>178720</v>
      </c>
      <c r="K16" s="1"/>
      <c r="L16" s="1"/>
      <c r="M16" s="1"/>
      <c r="N16" s="1"/>
      <c r="O16" s="1"/>
      <c r="P16" s="1"/>
    </row>
    <row r="17" spans="1:16" ht="21" x14ac:dyDescent="0.35">
      <c r="A17" s="12" t="s">
        <v>29</v>
      </c>
      <c r="B17" s="20">
        <v>7076.630000000001</v>
      </c>
      <c r="C17" s="14"/>
      <c r="D17" s="15"/>
      <c r="E17" s="8">
        <f t="shared" si="0"/>
        <v>7076.630000000001</v>
      </c>
      <c r="F17" s="16">
        <v>203</v>
      </c>
      <c r="G17" s="17"/>
      <c r="H17" s="6">
        <f t="shared" si="1"/>
        <v>203</v>
      </c>
      <c r="I17" s="11">
        <v>133549</v>
      </c>
      <c r="J17" s="11">
        <f t="shared" si="2"/>
        <v>133549</v>
      </c>
      <c r="K17" s="1"/>
      <c r="L17" s="1"/>
      <c r="M17" s="1"/>
      <c r="N17" s="1"/>
      <c r="O17" s="1"/>
      <c r="P17" s="1"/>
    </row>
    <row r="18" spans="1:16" ht="21" x14ac:dyDescent="0.35">
      <c r="A18" s="12" t="s">
        <v>30</v>
      </c>
      <c r="B18" s="20">
        <v>18916.86</v>
      </c>
      <c r="C18" s="14">
        <v>6315</v>
      </c>
      <c r="D18" s="15"/>
      <c r="E18" s="8">
        <f t="shared" si="0"/>
        <v>25231.86</v>
      </c>
      <c r="F18" s="16">
        <v>263</v>
      </c>
      <c r="G18" s="17">
        <v>8</v>
      </c>
      <c r="H18" s="6">
        <f t="shared" si="1"/>
        <v>271</v>
      </c>
      <c r="I18" s="11">
        <v>164840</v>
      </c>
      <c r="J18" s="11">
        <f t="shared" si="2"/>
        <v>171155</v>
      </c>
      <c r="K18" s="1"/>
      <c r="L18" s="1" t="s">
        <v>20</v>
      </c>
      <c r="M18" s="1"/>
      <c r="N18" s="1"/>
      <c r="O18" s="1"/>
      <c r="P18" s="1"/>
    </row>
    <row r="19" spans="1:16" ht="21" x14ac:dyDescent="0.35">
      <c r="A19" s="12" t="s">
        <v>31</v>
      </c>
      <c r="B19" s="20">
        <v>18020.550000000003</v>
      </c>
      <c r="C19" s="14">
        <v>2234</v>
      </c>
      <c r="D19" s="15"/>
      <c r="E19" s="8">
        <f t="shared" si="0"/>
        <v>20254.550000000003</v>
      </c>
      <c r="F19" s="16">
        <v>268</v>
      </c>
      <c r="G19" s="17">
        <v>2</v>
      </c>
      <c r="H19" s="6">
        <f t="shared" si="1"/>
        <v>270</v>
      </c>
      <c r="I19" s="11">
        <v>143042</v>
      </c>
      <c r="J19" s="11">
        <f t="shared" si="2"/>
        <v>145276</v>
      </c>
      <c r="K19" s="1"/>
      <c r="L19" s="1"/>
      <c r="M19" s="1"/>
      <c r="N19" s="1"/>
      <c r="O19" s="1"/>
      <c r="P19" s="1" t="s">
        <v>18</v>
      </c>
    </row>
    <row r="20" spans="1:16" ht="21" x14ac:dyDescent="0.35">
      <c r="A20" s="12" t="s">
        <v>32</v>
      </c>
      <c r="B20" s="20">
        <v>6012.0599999999977</v>
      </c>
      <c r="C20" s="14">
        <v>2014</v>
      </c>
      <c r="D20" s="15"/>
      <c r="E20" s="8">
        <f t="shared" si="0"/>
        <v>8026.0599999999977</v>
      </c>
      <c r="F20" s="16">
        <v>245</v>
      </c>
      <c r="G20" s="17">
        <v>4</v>
      </c>
      <c r="H20" s="6">
        <f t="shared" si="1"/>
        <v>249</v>
      </c>
      <c r="I20" s="11">
        <v>208542</v>
      </c>
      <c r="J20" s="11">
        <f t="shared" si="2"/>
        <v>210556</v>
      </c>
      <c r="K20" s="1"/>
      <c r="L20" s="1"/>
      <c r="M20" s="1"/>
      <c r="N20" s="1"/>
      <c r="O20" s="1"/>
      <c r="P20" s="1"/>
    </row>
    <row r="21" spans="1:16" ht="21" x14ac:dyDescent="0.35">
      <c r="A21" s="12" t="s">
        <v>33</v>
      </c>
      <c r="B21" s="13">
        <v>7525.66</v>
      </c>
      <c r="C21" s="6">
        <v>1785</v>
      </c>
      <c r="D21" s="15"/>
      <c r="E21" s="8">
        <f t="shared" si="0"/>
        <v>9310.66</v>
      </c>
      <c r="F21" s="16">
        <v>225</v>
      </c>
      <c r="G21" s="17">
        <v>2</v>
      </c>
      <c r="H21" s="6">
        <f t="shared" si="1"/>
        <v>227</v>
      </c>
      <c r="I21" s="11">
        <v>102454</v>
      </c>
      <c r="J21" s="11">
        <f t="shared" si="2"/>
        <v>104239</v>
      </c>
      <c r="K21" s="1"/>
      <c r="L21" s="1"/>
      <c r="M21" s="1"/>
      <c r="N21" s="1"/>
      <c r="O21" s="1"/>
      <c r="P21" s="1"/>
    </row>
    <row r="22" spans="1:16" ht="21" x14ac:dyDescent="0.35">
      <c r="A22" s="12" t="s">
        <v>34</v>
      </c>
      <c r="B22" s="20">
        <v>5261.760000000002</v>
      </c>
      <c r="C22" s="14">
        <v>7918</v>
      </c>
      <c r="D22" s="15"/>
      <c r="E22" s="8">
        <f t="shared" si="0"/>
        <v>13179.760000000002</v>
      </c>
      <c r="F22" s="16">
        <v>187</v>
      </c>
      <c r="G22" s="17">
        <v>6</v>
      </c>
      <c r="H22" s="6">
        <f t="shared" si="1"/>
        <v>193</v>
      </c>
      <c r="I22" s="11">
        <v>157786</v>
      </c>
      <c r="J22" s="11">
        <f t="shared" si="2"/>
        <v>165704</v>
      </c>
      <c r="K22" s="1"/>
      <c r="L22" s="1"/>
      <c r="M22" s="1"/>
      <c r="N22" s="1"/>
      <c r="O22" s="1"/>
      <c r="P22" s="1"/>
    </row>
    <row r="23" spans="1:16" ht="21" x14ac:dyDescent="0.35">
      <c r="A23" s="12" t="s">
        <v>35</v>
      </c>
      <c r="B23" s="20">
        <v>17803.759999999995</v>
      </c>
      <c r="C23" s="14">
        <v>965</v>
      </c>
      <c r="D23" s="15"/>
      <c r="E23" s="8">
        <f t="shared" si="0"/>
        <v>18768.759999999995</v>
      </c>
      <c r="F23" s="16">
        <v>383</v>
      </c>
      <c r="G23" s="17">
        <v>3</v>
      </c>
      <c r="H23" s="6">
        <f t="shared" si="1"/>
        <v>386</v>
      </c>
      <c r="I23" s="11">
        <v>170674</v>
      </c>
      <c r="J23" s="11">
        <f t="shared" si="2"/>
        <v>171639</v>
      </c>
      <c r="K23" s="21"/>
      <c r="L23" s="1"/>
      <c r="M23" s="1"/>
      <c r="N23" s="1"/>
      <c r="O23" s="1"/>
      <c r="P23" s="1"/>
    </row>
    <row r="24" spans="1:16" ht="21" x14ac:dyDescent="0.35">
      <c r="A24" s="12" t="s">
        <v>36</v>
      </c>
      <c r="B24" s="22">
        <v>4872.9099999999962</v>
      </c>
      <c r="C24" s="23">
        <v>455</v>
      </c>
      <c r="D24" s="15"/>
      <c r="E24" s="8">
        <f t="shared" si="0"/>
        <v>5327.9099999999962</v>
      </c>
      <c r="F24" s="16">
        <v>285</v>
      </c>
      <c r="G24" s="17">
        <v>1</v>
      </c>
      <c r="H24" s="6">
        <f t="shared" si="1"/>
        <v>286</v>
      </c>
      <c r="I24" s="11">
        <v>189400</v>
      </c>
      <c r="J24" s="11">
        <f t="shared" si="2"/>
        <v>189855</v>
      </c>
      <c r="K24" s="1"/>
      <c r="L24" s="1"/>
      <c r="M24" s="1"/>
      <c r="N24" s="1"/>
      <c r="O24" s="1"/>
      <c r="P24" s="1"/>
    </row>
    <row r="25" spans="1:16" ht="21.75" thickBot="1" x14ac:dyDescent="0.45">
      <c r="A25" s="1"/>
      <c r="B25" s="24">
        <f>SUM(B3:B24)</f>
        <v>196918.49999999997</v>
      </c>
      <c r="C25" s="25">
        <f>SUM(C3:C24)</f>
        <v>74104.5</v>
      </c>
      <c r="D25" s="26">
        <f>SUM(D3:D24)</f>
        <v>45520</v>
      </c>
      <c r="E25" s="8">
        <f>SUM(E3:E24)</f>
        <v>225502.99999999997</v>
      </c>
      <c r="F25" s="1"/>
      <c r="G25" s="1"/>
      <c r="H25" s="1"/>
      <c r="I25" s="27"/>
      <c r="J25" s="27">
        <f>SUM(J3:J24)</f>
        <v>3523092.55</v>
      </c>
      <c r="K25" s="1"/>
      <c r="L25" s="1"/>
      <c r="M25" s="1"/>
      <c r="N25" s="1"/>
      <c r="O25" s="1"/>
      <c r="P25" s="1"/>
    </row>
    <row r="26" spans="1:16" ht="15.75" thickTop="1" x14ac:dyDescent="0.15"/>
    <row r="28" spans="1:16" ht="21" x14ac:dyDescent="0.35">
      <c r="A28" s="12" t="s">
        <v>37</v>
      </c>
      <c r="B28" s="13">
        <v>230203.04</v>
      </c>
      <c r="C28" s="15"/>
      <c r="D28" s="15">
        <v>65000</v>
      </c>
      <c r="E28" s="13">
        <f t="shared" ref="E28" si="3">B28+C28-D28</f>
        <v>165203.04</v>
      </c>
      <c r="F28" s="16">
        <v>52</v>
      </c>
      <c r="G28" s="28"/>
      <c r="H28" s="28">
        <f t="shared" ref="H28" si="4">F28+G28</f>
        <v>52</v>
      </c>
      <c r="I28" s="13">
        <v>1972164.63</v>
      </c>
      <c r="J28" s="13">
        <f t="shared" ref="J28" si="5">I28+C28</f>
        <v>1972164.63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BB2C-C5F6-1E43-92E5-FD0F8EF3E341}">
  <dimension ref="A1:P28"/>
  <sheetViews>
    <sheetView workbookViewId="0">
      <selection activeCell="N19" sqref="N19"/>
    </sheetView>
  </sheetViews>
  <sheetFormatPr baseColWidth="10" defaultColWidth="7.5703125" defaultRowHeight="15" x14ac:dyDescent="0.15"/>
  <cols>
    <col min="1" max="1" width="19.42578125" customWidth="1"/>
    <col min="2" max="2" width="10.5703125" customWidth="1"/>
    <col min="3" max="3" width="8.7109375" customWidth="1"/>
    <col min="4" max="4" width="9.140625" customWidth="1"/>
    <col min="5" max="5" width="9.28515625" customWidth="1"/>
    <col min="6" max="6" width="9.5703125" customWidth="1"/>
    <col min="7" max="7" width="9.85546875" customWidth="1"/>
    <col min="8" max="8" width="11.5703125" customWidth="1"/>
    <col min="9" max="9" width="10.85546875" customWidth="1"/>
    <col min="10" max="10" width="12" customWidth="1"/>
  </cols>
  <sheetData>
    <row r="1" spans="1:16" ht="21" x14ac:dyDescent="0.35">
      <c r="A1" s="31" t="s">
        <v>39</v>
      </c>
      <c r="B1" s="31"/>
      <c r="C1" s="31"/>
      <c r="D1" s="31"/>
      <c r="E1" s="31"/>
      <c r="F1" s="31"/>
      <c r="G1" s="31"/>
      <c r="H1" s="31"/>
      <c r="I1" s="31"/>
      <c r="J1" s="31"/>
      <c r="K1" s="1"/>
      <c r="L1" s="1"/>
      <c r="M1" s="1"/>
      <c r="N1" s="1"/>
      <c r="O1" s="1"/>
      <c r="P1" s="1"/>
    </row>
    <row r="2" spans="1:16" ht="44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9</v>
      </c>
      <c r="K2" s="1"/>
      <c r="L2" s="1"/>
      <c r="M2" s="1"/>
      <c r="N2" s="1"/>
      <c r="O2" s="1"/>
      <c r="P2" s="1"/>
    </row>
    <row r="3" spans="1:16" ht="21" x14ac:dyDescent="0.35">
      <c r="A3" s="4" t="s">
        <v>10</v>
      </c>
      <c r="B3" s="5">
        <v>198.43000000000029</v>
      </c>
      <c r="C3" s="6">
        <v>1850</v>
      </c>
      <c r="D3" s="7">
        <v>1526</v>
      </c>
      <c r="E3" s="8">
        <f t="shared" ref="E3:E24" si="0">B3+C3-D3</f>
        <v>522.43000000000029</v>
      </c>
      <c r="F3" s="9">
        <v>19</v>
      </c>
      <c r="G3" s="10">
        <v>1</v>
      </c>
      <c r="H3" s="6">
        <f t="shared" ref="H3:H24" si="1">F3+G3</f>
        <v>20</v>
      </c>
      <c r="I3" s="11">
        <v>371740</v>
      </c>
      <c r="J3" s="11">
        <f t="shared" ref="J3:J24" si="2">I3+C3</f>
        <v>373590</v>
      </c>
      <c r="K3" s="1"/>
      <c r="L3" s="1"/>
      <c r="M3" s="1"/>
      <c r="N3" s="1"/>
      <c r="O3" s="1"/>
      <c r="P3" s="1"/>
    </row>
    <row r="4" spans="1:16" ht="21" x14ac:dyDescent="0.35">
      <c r="A4" s="12" t="s">
        <v>11</v>
      </c>
      <c r="B4" s="13">
        <v>9000.8899999999958</v>
      </c>
      <c r="C4" s="14">
        <v>0</v>
      </c>
      <c r="D4" s="15">
        <v>8065</v>
      </c>
      <c r="E4" s="8">
        <f t="shared" si="0"/>
        <v>935.88999999999578</v>
      </c>
      <c r="F4" s="16">
        <v>63</v>
      </c>
      <c r="G4" s="17">
        <v>0</v>
      </c>
      <c r="H4" s="6">
        <f t="shared" si="1"/>
        <v>63</v>
      </c>
      <c r="I4" s="11">
        <v>111139</v>
      </c>
      <c r="J4" s="11">
        <f t="shared" si="2"/>
        <v>111139</v>
      </c>
      <c r="K4" s="1"/>
      <c r="L4" s="1"/>
      <c r="M4" s="1"/>
      <c r="N4" s="1"/>
      <c r="O4" s="1"/>
      <c r="P4" s="1"/>
    </row>
    <row r="5" spans="1:16" ht="21" x14ac:dyDescent="0.35">
      <c r="A5" s="12" t="s">
        <v>12</v>
      </c>
      <c r="B5" s="13">
        <v>18132.02</v>
      </c>
      <c r="C5" s="14">
        <v>67935</v>
      </c>
      <c r="D5" s="15">
        <v>61133</v>
      </c>
      <c r="E5" s="8">
        <f t="shared" si="0"/>
        <v>24934.020000000004</v>
      </c>
      <c r="F5" s="16">
        <v>41</v>
      </c>
      <c r="G5" s="17">
        <v>12</v>
      </c>
      <c r="H5" s="6">
        <f t="shared" si="1"/>
        <v>53</v>
      </c>
      <c r="I5" s="11">
        <v>79144</v>
      </c>
      <c r="J5" s="11">
        <f t="shared" si="2"/>
        <v>147079</v>
      </c>
      <c r="K5" s="1"/>
      <c r="L5" s="1"/>
      <c r="M5" s="1"/>
      <c r="N5" s="1"/>
      <c r="O5" s="1"/>
      <c r="P5" s="1"/>
    </row>
    <row r="6" spans="1:16" ht="21" x14ac:dyDescent="0.35">
      <c r="A6" s="12" t="s">
        <v>13</v>
      </c>
      <c r="B6" s="13">
        <v>2513.7200000000012</v>
      </c>
      <c r="C6" s="18">
        <v>7110</v>
      </c>
      <c r="D6" s="15">
        <v>0</v>
      </c>
      <c r="E6" s="8">
        <f t="shared" si="0"/>
        <v>9623.7200000000012</v>
      </c>
      <c r="F6" s="16">
        <v>225</v>
      </c>
      <c r="G6" s="17">
        <v>19</v>
      </c>
      <c r="H6" s="6">
        <f t="shared" si="1"/>
        <v>244</v>
      </c>
      <c r="I6" s="11">
        <v>106624</v>
      </c>
      <c r="J6" s="11">
        <f t="shared" si="2"/>
        <v>113734</v>
      </c>
      <c r="K6" s="1"/>
      <c r="L6" s="1"/>
      <c r="M6" s="1"/>
      <c r="N6" s="1"/>
      <c r="O6" s="1"/>
      <c r="P6" s="1"/>
    </row>
    <row r="7" spans="1:16" ht="21" x14ac:dyDescent="0.35">
      <c r="A7" s="12" t="s">
        <v>14</v>
      </c>
      <c r="B7" s="13">
        <v>19471.73</v>
      </c>
      <c r="C7" s="14">
        <v>96027</v>
      </c>
      <c r="D7" s="15">
        <v>84022.67</v>
      </c>
      <c r="E7" s="8">
        <f>B7+C7-D7</f>
        <v>31476.059999999998</v>
      </c>
      <c r="F7" s="16">
        <v>54</v>
      </c>
      <c r="G7" s="17">
        <v>12</v>
      </c>
      <c r="H7" s="6">
        <f t="shared" si="1"/>
        <v>66</v>
      </c>
      <c r="I7" s="11">
        <v>270008</v>
      </c>
      <c r="J7" s="11">
        <f t="shared" si="2"/>
        <v>366035</v>
      </c>
      <c r="K7" s="1"/>
      <c r="L7" s="1"/>
      <c r="M7" s="1"/>
      <c r="N7" s="1"/>
      <c r="O7" s="1"/>
      <c r="P7" s="1"/>
    </row>
    <row r="8" spans="1:16" ht="21" x14ac:dyDescent="0.35">
      <c r="A8" s="12" t="s">
        <v>15</v>
      </c>
      <c r="B8" s="13">
        <v>8168.0400000000009</v>
      </c>
      <c r="C8" s="14">
        <v>13376</v>
      </c>
      <c r="D8" s="15">
        <v>9985</v>
      </c>
      <c r="E8" s="8">
        <f t="shared" si="0"/>
        <v>11559.04</v>
      </c>
      <c r="F8" s="16">
        <v>244</v>
      </c>
      <c r="G8" s="17">
        <v>66</v>
      </c>
      <c r="H8" s="6">
        <f t="shared" si="1"/>
        <v>310</v>
      </c>
      <c r="I8" s="11">
        <v>101840</v>
      </c>
      <c r="J8" s="11">
        <f t="shared" si="2"/>
        <v>115216</v>
      </c>
      <c r="K8" s="1"/>
      <c r="L8" s="1"/>
      <c r="M8" s="1"/>
      <c r="N8" s="1"/>
      <c r="O8" s="1"/>
      <c r="P8" s="1"/>
    </row>
    <row r="9" spans="1:16" ht="21" x14ac:dyDescent="0.35">
      <c r="A9" s="12" t="s">
        <v>16</v>
      </c>
      <c r="B9" s="13">
        <v>3758.2700000000041</v>
      </c>
      <c r="C9" s="14">
        <v>30918</v>
      </c>
      <c r="D9" s="15">
        <v>16760</v>
      </c>
      <c r="E9" s="8">
        <f t="shared" si="0"/>
        <v>17916.270000000004</v>
      </c>
      <c r="F9" s="16">
        <v>118</v>
      </c>
      <c r="G9" s="17">
        <v>40</v>
      </c>
      <c r="H9" s="6">
        <f t="shared" si="1"/>
        <v>158</v>
      </c>
      <c r="I9" s="11">
        <v>141915</v>
      </c>
      <c r="J9" s="11">
        <f t="shared" si="2"/>
        <v>172833</v>
      </c>
      <c r="K9" s="1"/>
      <c r="L9" s="1"/>
      <c r="M9" s="1"/>
      <c r="N9" s="1"/>
      <c r="O9" s="1"/>
      <c r="P9" s="1"/>
    </row>
    <row r="10" spans="1:16" ht="21" x14ac:dyDescent="0.35">
      <c r="A10" s="12" t="s">
        <v>17</v>
      </c>
      <c r="B10" s="13">
        <v>5491.4500000000007</v>
      </c>
      <c r="C10" s="14">
        <v>15120</v>
      </c>
      <c r="D10" s="15">
        <v>14850</v>
      </c>
      <c r="E10" s="8">
        <f t="shared" si="0"/>
        <v>5761.4500000000007</v>
      </c>
      <c r="F10" s="16">
        <v>376</v>
      </c>
      <c r="G10" s="17">
        <v>42</v>
      </c>
      <c r="H10" s="6">
        <f t="shared" si="1"/>
        <v>418</v>
      </c>
      <c r="I10" s="11">
        <v>131985</v>
      </c>
      <c r="J10" s="11">
        <f t="shared" si="2"/>
        <v>147105</v>
      </c>
      <c r="K10" s="1"/>
      <c r="L10" s="1"/>
      <c r="M10" s="1"/>
      <c r="N10" s="1"/>
      <c r="O10" s="1" t="s">
        <v>18</v>
      </c>
      <c r="P10" s="1"/>
    </row>
    <row r="11" spans="1:16" ht="21" x14ac:dyDescent="0.35">
      <c r="A11" s="12" t="s">
        <v>19</v>
      </c>
      <c r="B11" s="15">
        <v>3256.09</v>
      </c>
      <c r="C11" s="18">
        <v>10255</v>
      </c>
      <c r="D11" s="15">
        <v>10522</v>
      </c>
      <c r="E11" s="8">
        <f t="shared" si="0"/>
        <v>2989.09</v>
      </c>
      <c r="F11" s="16">
        <v>367</v>
      </c>
      <c r="G11" s="17">
        <v>19</v>
      </c>
      <c r="H11" s="6">
        <f t="shared" si="1"/>
        <v>386</v>
      </c>
      <c r="I11" s="11">
        <v>173750.69</v>
      </c>
      <c r="J11" s="11">
        <f t="shared" si="2"/>
        <v>184005.69</v>
      </c>
      <c r="K11" s="1"/>
      <c r="L11" s="1" t="s">
        <v>20</v>
      </c>
      <c r="M11" s="1"/>
      <c r="N11" s="1"/>
      <c r="O11" s="1"/>
      <c r="P11" s="1"/>
    </row>
    <row r="12" spans="1:16" ht="21" x14ac:dyDescent="0.35">
      <c r="A12" s="19" t="s">
        <v>21</v>
      </c>
      <c r="B12" s="13">
        <v>5981.1199999999953</v>
      </c>
      <c r="C12" s="14">
        <v>30091</v>
      </c>
      <c r="D12" s="15">
        <v>10890</v>
      </c>
      <c r="E12" s="8">
        <f t="shared" si="0"/>
        <v>25182.119999999995</v>
      </c>
      <c r="F12" s="16">
        <v>258</v>
      </c>
      <c r="G12" s="17">
        <v>62</v>
      </c>
      <c r="H12" s="6">
        <f t="shared" si="1"/>
        <v>320</v>
      </c>
      <c r="I12" s="11">
        <v>194623</v>
      </c>
      <c r="J12" s="11">
        <f t="shared" si="2"/>
        <v>224714</v>
      </c>
      <c r="K12" s="1" t="s">
        <v>22</v>
      </c>
      <c r="L12" s="1" t="s">
        <v>23</v>
      </c>
      <c r="M12" s="1" t="s">
        <v>18</v>
      </c>
      <c r="N12" s="1" t="s">
        <v>20</v>
      </c>
      <c r="O12" s="1"/>
      <c r="P12" s="1"/>
    </row>
    <row r="13" spans="1:16" ht="21" x14ac:dyDescent="0.35">
      <c r="A13" s="12" t="s">
        <v>24</v>
      </c>
      <c r="B13" s="20">
        <v>1803.2200000000012</v>
      </c>
      <c r="C13" s="14">
        <v>1300</v>
      </c>
      <c r="D13" s="15">
        <v>743</v>
      </c>
      <c r="E13" s="8">
        <f t="shared" si="0"/>
        <v>2360.2200000000012</v>
      </c>
      <c r="F13" s="16">
        <v>202</v>
      </c>
      <c r="G13" s="17">
        <v>2</v>
      </c>
      <c r="H13" s="6">
        <f t="shared" si="1"/>
        <v>204</v>
      </c>
      <c r="I13" s="11">
        <v>145046</v>
      </c>
      <c r="J13" s="11">
        <f t="shared" si="2"/>
        <v>146346</v>
      </c>
      <c r="K13" s="1"/>
      <c r="L13" s="1"/>
      <c r="M13" s="1"/>
      <c r="N13" s="1"/>
      <c r="O13" s="1"/>
      <c r="P13" s="1"/>
    </row>
    <row r="14" spans="1:16" ht="21" x14ac:dyDescent="0.35">
      <c r="A14" s="12" t="s">
        <v>25</v>
      </c>
      <c r="B14" s="20">
        <v>9990.1700000000019</v>
      </c>
      <c r="C14" s="14">
        <v>10550</v>
      </c>
      <c r="D14" s="15">
        <v>15249</v>
      </c>
      <c r="E14" s="8">
        <f t="shared" si="0"/>
        <v>5291.1700000000019</v>
      </c>
      <c r="F14" s="16">
        <v>202</v>
      </c>
      <c r="G14" s="17">
        <v>11</v>
      </c>
      <c r="H14" s="6">
        <f t="shared" si="1"/>
        <v>213</v>
      </c>
      <c r="I14" s="11">
        <v>101384.86</v>
      </c>
      <c r="J14" s="11">
        <f t="shared" si="2"/>
        <v>111934.86</v>
      </c>
      <c r="K14" s="1"/>
      <c r="L14" s="1"/>
      <c r="M14" s="1"/>
      <c r="N14" s="1"/>
      <c r="O14" s="1"/>
      <c r="P14" s="1"/>
    </row>
    <row r="15" spans="1:16" ht="21" x14ac:dyDescent="0.35">
      <c r="A15" s="12" t="s">
        <v>26</v>
      </c>
      <c r="B15" s="20">
        <v>22036.620000000003</v>
      </c>
      <c r="C15" s="14">
        <v>10755</v>
      </c>
      <c r="D15" s="15">
        <v>31000</v>
      </c>
      <c r="E15" s="8">
        <f>B15+C15-D15</f>
        <v>1791.6200000000026</v>
      </c>
      <c r="F15" s="16">
        <v>306</v>
      </c>
      <c r="G15" s="17">
        <v>21</v>
      </c>
      <c r="H15" s="6">
        <f t="shared" si="1"/>
        <v>327</v>
      </c>
      <c r="I15" s="11">
        <v>123200</v>
      </c>
      <c r="J15" s="11">
        <f t="shared" si="2"/>
        <v>133955</v>
      </c>
      <c r="K15" s="1" t="s">
        <v>27</v>
      </c>
      <c r="L15" s="1" t="s">
        <v>18</v>
      </c>
      <c r="M15" s="1"/>
      <c r="N15" s="1"/>
      <c r="O15" s="1"/>
      <c r="P15" s="1"/>
    </row>
    <row r="16" spans="1:16" ht="21" x14ac:dyDescent="0.35">
      <c r="A16" s="12" t="s">
        <v>28</v>
      </c>
      <c r="B16" s="20">
        <v>8525.0400000000009</v>
      </c>
      <c r="C16" s="14">
        <v>11345</v>
      </c>
      <c r="D16" s="15">
        <v>14010</v>
      </c>
      <c r="E16" s="8">
        <f t="shared" si="0"/>
        <v>5860.0400000000009</v>
      </c>
      <c r="F16" s="16">
        <v>390</v>
      </c>
      <c r="G16" s="17">
        <v>23</v>
      </c>
      <c r="H16" s="6">
        <f t="shared" si="1"/>
        <v>413</v>
      </c>
      <c r="I16" s="11">
        <v>178720</v>
      </c>
      <c r="J16" s="11">
        <f t="shared" si="2"/>
        <v>190065</v>
      </c>
      <c r="K16" s="1"/>
      <c r="L16" s="1"/>
      <c r="M16" s="1"/>
      <c r="N16" s="1"/>
      <c r="O16" s="1"/>
      <c r="P16" s="1"/>
    </row>
    <row r="17" spans="1:16" ht="21" x14ac:dyDescent="0.35">
      <c r="A17" s="12" t="s">
        <v>29</v>
      </c>
      <c r="B17" s="20">
        <v>7076.630000000001</v>
      </c>
      <c r="C17" s="14">
        <v>10369</v>
      </c>
      <c r="D17" s="15">
        <v>12000</v>
      </c>
      <c r="E17" s="8">
        <f t="shared" si="0"/>
        <v>5445.630000000001</v>
      </c>
      <c r="F17" s="16">
        <v>203</v>
      </c>
      <c r="G17" s="17">
        <v>12</v>
      </c>
      <c r="H17" s="6">
        <f t="shared" si="1"/>
        <v>215</v>
      </c>
      <c r="I17" s="11">
        <v>133549</v>
      </c>
      <c r="J17" s="11">
        <f t="shared" si="2"/>
        <v>143918</v>
      </c>
      <c r="K17" s="1"/>
      <c r="L17" s="1"/>
      <c r="M17" s="1"/>
      <c r="N17" s="1"/>
      <c r="O17" s="1"/>
      <c r="P17" s="1"/>
    </row>
    <row r="18" spans="1:16" ht="21" x14ac:dyDescent="0.35">
      <c r="A18" s="12" t="s">
        <v>30</v>
      </c>
      <c r="B18" s="20">
        <v>25231.86</v>
      </c>
      <c r="C18" s="14">
        <v>14485</v>
      </c>
      <c r="D18" s="15">
        <v>39000</v>
      </c>
      <c r="E18" s="8">
        <f t="shared" si="0"/>
        <v>716.86000000000058</v>
      </c>
      <c r="F18" s="16">
        <v>271</v>
      </c>
      <c r="G18" s="17">
        <v>28</v>
      </c>
      <c r="H18" s="6">
        <f t="shared" si="1"/>
        <v>299</v>
      </c>
      <c r="I18" s="11">
        <v>171155</v>
      </c>
      <c r="J18" s="11">
        <f t="shared" si="2"/>
        <v>185640</v>
      </c>
      <c r="K18" s="1"/>
      <c r="L18" s="1" t="s">
        <v>20</v>
      </c>
      <c r="M18" s="1"/>
      <c r="N18" s="1"/>
      <c r="O18" s="1"/>
      <c r="P18" s="1"/>
    </row>
    <row r="19" spans="1:16" ht="21" x14ac:dyDescent="0.35">
      <c r="A19" s="12" t="s">
        <v>31</v>
      </c>
      <c r="B19" s="20">
        <v>20254.550000000003</v>
      </c>
      <c r="C19" s="14">
        <v>24444</v>
      </c>
      <c r="D19" s="15">
        <v>37020</v>
      </c>
      <c r="E19" s="8">
        <f t="shared" si="0"/>
        <v>7678.5500000000029</v>
      </c>
      <c r="F19" s="16">
        <v>270</v>
      </c>
      <c r="G19" s="17">
        <v>42</v>
      </c>
      <c r="H19" s="6">
        <f t="shared" si="1"/>
        <v>312</v>
      </c>
      <c r="I19" s="11">
        <v>145276</v>
      </c>
      <c r="J19" s="11">
        <f t="shared" si="2"/>
        <v>169720</v>
      </c>
      <c r="K19" s="1"/>
      <c r="L19" s="1"/>
      <c r="M19" s="1"/>
      <c r="N19" s="1"/>
      <c r="O19" s="1"/>
      <c r="P19" s="1" t="s">
        <v>18</v>
      </c>
    </row>
    <row r="20" spans="1:16" ht="21" x14ac:dyDescent="0.35">
      <c r="A20" s="12" t="s">
        <v>32</v>
      </c>
      <c r="B20" s="20">
        <v>8026.0599999999977</v>
      </c>
      <c r="C20" s="14">
        <v>10212</v>
      </c>
      <c r="D20" s="15">
        <v>13000</v>
      </c>
      <c r="E20" s="8">
        <f t="shared" si="0"/>
        <v>5238.0599999999977</v>
      </c>
      <c r="F20" s="16">
        <v>249</v>
      </c>
      <c r="G20" s="17">
        <v>7</v>
      </c>
      <c r="H20" s="6">
        <f t="shared" si="1"/>
        <v>256</v>
      </c>
      <c r="I20" s="11">
        <v>210556</v>
      </c>
      <c r="J20" s="11">
        <f t="shared" si="2"/>
        <v>220768</v>
      </c>
      <c r="K20" s="1"/>
      <c r="L20" s="1"/>
      <c r="M20" s="1"/>
      <c r="N20" s="1"/>
      <c r="O20" s="1"/>
      <c r="P20" s="1"/>
    </row>
    <row r="21" spans="1:16" ht="21" x14ac:dyDescent="0.35">
      <c r="A21" s="12" t="s">
        <v>33</v>
      </c>
      <c r="B21" s="13">
        <v>9310.66</v>
      </c>
      <c r="C21" s="6">
        <v>10685</v>
      </c>
      <c r="D21" s="15">
        <v>16000</v>
      </c>
      <c r="E21" s="8">
        <f t="shared" si="0"/>
        <v>3995.66</v>
      </c>
      <c r="F21" s="16">
        <v>227</v>
      </c>
      <c r="G21" s="17">
        <v>18</v>
      </c>
      <c r="H21" s="6">
        <f t="shared" si="1"/>
        <v>245</v>
      </c>
      <c r="I21" s="11">
        <v>104239</v>
      </c>
      <c r="J21" s="11">
        <f t="shared" si="2"/>
        <v>114924</v>
      </c>
      <c r="K21" s="1"/>
      <c r="L21" s="1"/>
      <c r="M21" s="1"/>
      <c r="N21" s="1"/>
      <c r="O21" s="1"/>
      <c r="P21" s="1"/>
    </row>
    <row r="22" spans="1:16" ht="21" x14ac:dyDescent="0.35">
      <c r="A22" s="12" t="s">
        <v>34</v>
      </c>
      <c r="B22" s="20">
        <v>13179.760000000002</v>
      </c>
      <c r="C22" s="14">
        <v>10157</v>
      </c>
      <c r="D22" s="15">
        <v>23000</v>
      </c>
      <c r="E22" s="8">
        <f t="shared" si="0"/>
        <v>336.76000000000204</v>
      </c>
      <c r="F22" s="16">
        <v>193</v>
      </c>
      <c r="G22" s="17">
        <v>10</v>
      </c>
      <c r="H22" s="6">
        <f t="shared" si="1"/>
        <v>203</v>
      </c>
      <c r="I22" s="11">
        <v>165704</v>
      </c>
      <c r="J22" s="11">
        <f t="shared" si="2"/>
        <v>175861</v>
      </c>
      <c r="K22" s="1"/>
      <c r="L22" s="1"/>
      <c r="M22" s="1"/>
      <c r="N22" s="1"/>
      <c r="O22" s="1"/>
      <c r="P22" s="1"/>
    </row>
    <row r="23" spans="1:16" ht="21" x14ac:dyDescent="0.35">
      <c r="A23" s="12" t="s">
        <v>35</v>
      </c>
      <c r="B23" s="20">
        <v>18768.759999999995</v>
      </c>
      <c r="C23" s="14">
        <v>29815</v>
      </c>
      <c r="D23" s="15">
        <v>48000</v>
      </c>
      <c r="E23" s="8">
        <f t="shared" si="0"/>
        <v>583.75999999999476</v>
      </c>
      <c r="F23" s="16">
        <v>386</v>
      </c>
      <c r="G23" s="17">
        <v>69</v>
      </c>
      <c r="H23" s="6">
        <f t="shared" si="1"/>
        <v>455</v>
      </c>
      <c r="I23" s="11">
        <v>171639</v>
      </c>
      <c r="J23" s="11">
        <f t="shared" si="2"/>
        <v>201454</v>
      </c>
      <c r="K23" s="21"/>
      <c r="L23" s="1"/>
      <c r="M23" s="1"/>
      <c r="N23" s="1"/>
      <c r="O23" s="1"/>
      <c r="P23" s="1"/>
    </row>
    <row r="24" spans="1:16" ht="21" x14ac:dyDescent="0.35">
      <c r="A24" s="12" t="s">
        <v>36</v>
      </c>
      <c r="B24" s="22">
        <v>5327.9099999999962</v>
      </c>
      <c r="C24" s="23">
        <v>20570</v>
      </c>
      <c r="D24" s="15">
        <v>19905</v>
      </c>
      <c r="E24" s="8">
        <f t="shared" si="0"/>
        <v>5992.9099999999962</v>
      </c>
      <c r="F24" s="16">
        <v>286</v>
      </c>
      <c r="G24" s="17">
        <v>47</v>
      </c>
      <c r="H24" s="6">
        <f t="shared" si="1"/>
        <v>333</v>
      </c>
      <c r="I24" s="11">
        <v>189855</v>
      </c>
      <c r="J24" s="11">
        <f t="shared" si="2"/>
        <v>210425</v>
      </c>
      <c r="K24" s="1"/>
      <c r="L24" s="1"/>
      <c r="M24" s="1"/>
      <c r="N24" s="1"/>
      <c r="O24" s="1"/>
      <c r="P24" s="1"/>
    </row>
    <row r="25" spans="1:16" ht="21.75" thickBot="1" x14ac:dyDescent="0.45">
      <c r="A25" s="1"/>
      <c r="B25" s="24">
        <f>SUM(B3:B24)</f>
        <v>225502.99999999997</v>
      </c>
      <c r="C25" s="25">
        <f>SUM(C3:C24)</f>
        <v>437369</v>
      </c>
      <c r="D25" s="26">
        <f>SUM(D3:D24)</f>
        <v>486680.67</v>
      </c>
      <c r="E25" s="8">
        <f>SUM(E3:E24)</f>
        <v>176191.33</v>
      </c>
      <c r="F25" s="1"/>
      <c r="G25" s="1"/>
      <c r="H25" s="1"/>
      <c r="I25" s="27"/>
      <c r="J25" s="27">
        <f>SUM(J3:J24)</f>
        <v>3960461.55</v>
      </c>
      <c r="K25" s="1"/>
      <c r="L25" s="1"/>
      <c r="M25" s="1"/>
      <c r="N25" s="1"/>
      <c r="O25" s="1"/>
      <c r="P25" s="1"/>
    </row>
    <row r="26" spans="1:16" ht="15.75" thickTop="1" x14ac:dyDescent="0.15"/>
    <row r="28" spans="1:16" ht="21" x14ac:dyDescent="0.35">
      <c r="A28" s="12" t="s">
        <v>37</v>
      </c>
      <c r="B28" s="13">
        <v>230203.04</v>
      </c>
      <c r="C28" s="15"/>
      <c r="D28" s="15">
        <v>65000</v>
      </c>
      <c r="E28" s="13">
        <f t="shared" ref="E28" si="3">B28+C28-D28</f>
        <v>165203.04</v>
      </c>
      <c r="F28" s="16">
        <v>52</v>
      </c>
      <c r="G28" s="28"/>
      <c r="H28" s="28">
        <f t="shared" ref="H28" si="4">F28+G28</f>
        <v>52</v>
      </c>
      <c r="I28" s="13">
        <v>1972164.63</v>
      </c>
      <c r="J28" s="13">
        <f t="shared" ref="J28" si="5">I28+C28</f>
        <v>1972164.63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7F19-246B-0946-8C8B-9783F516D46F}">
  <dimension ref="A1:J26"/>
  <sheetViews>
    <sheetView zoomScaleNormal="150" zoomScaleSheetLayoutView="100" workbookViewId="0">
      <selection sqref="A1:J26"/>
    </sheetView>
  </sheetViews>
  <sheetFormatPr baseColWidth="10" defaultColWidth="8.7109375" defaultRowHeight="15" x14ac:dyDescent="0.15"/>
  <cols>
    <col min="1" max="1" width="12.42578125" customWidth="1"/>
  </cols>
  <sheetData>
    <row r="1" spans="1:10" ht="21" x14ac:dyDescent="0.15">
      <c r="A1" s="31" t="s">
        <v>40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44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9</v>
      </c>
    </row>
    <row r="3" spans="1:10" ht="21" x14ac:dyDescent="0.35">
      <c r="A3" s="4" t="s">
        <v>10</v>
      </c>
      <c r="B3" s="5">
        <v>522.43000000000029</v>
      </c>
      <c r="C3" s="6"/>
      <c r="D3" s="7">
        <v>125</v>
      </c>
      <c r="E3" s="8">
        <f t="shared" ref="E3:E24" si="0">B3+C3-D3</f>
        <v>397.43000000000029</v>
      </c>
      <c r="F3" s="9">
        <v>20</v>
      </c>
      <c r="G3" s="10"/>
      <c r="H3" s="6">
        <f t="shared" ref="H3:H24" si="1">F3+G3</f>
        <v>20</v>
      </c>
      <c r="I3" s="11">
        <v>373590</v>
      </c>
      <c r="J3" s="11">
        <f t="shared" ref="J3:J24" si="2">I3+C3</f>
        <v>373590</v>
      </c>
    </row>
    <row r="4" spans="1:10" ht="21" x14ac:dyDescent="0.35">
      <c r="A4" s="12" t="s">
        <v>11</v>
      </c>
      <c r="B4" s="13">
        <v>935.88999999999578</v>
      </c>
      <c r="C4" s="14">
        <v>15190</v>
      </c>
      <c r="D4" s="7">
        <v>4195.0600000000004</v>
      </c>
      <c r="E4" s="8">
        <f t="shared" si="0"/>
        <v>11930.829999999994</v>
      </c>
      <c r="F4" s="16">
        <v>63</v>
      </c>
      <c r="G4" s="17">
        <v>3</v>
      </c>
      <c r="H4" s="6">
        <f t="shared" si="1"/>
        <v>66</v>
      </c>
      <c r="I4" s="11">
        <v>111139</v>
      </c>
      <c r="J4" s="11">
        <f t="shared" si="2"/>
        <v>126329</v>
      </c>
    </row>
    <row r="5" spans="1:10" ht="21" x14ac:dyDescent="0.35">
      <c r="A5" s="12" t="s">
        <v>12</v>
      </c>
      <c r="B5" s="13">
        <v>24934.020000000004</v>
      </c>
      <c r="C5" s="14">
        <v>26535</v>
      </c>
      <c r="D5" s="7">
        <v>46928.83</v>
      </c>
      <c r="E5" s="8">
        <f t="shared" si="0"/>
        <v>4540.1900000000023</v>
      </c>
      <c r="F5" s="16">
        <v>53</v>
      </c>
      <c r="G5" s="17">
        <v>9</v>
      </c>
      <c r="H5" s="6">
        <f t="shared" si="1"/>
        <v>62</v>
      </c>
      <c r="I5" s="11">
        <v>147079</v>
      </c>
      <c r="J5" s="11">
        <f t="shared" si="2"/>
        <v>173614</v>
      </c>
    </row>
    <row r="6" spans="1:10" ht="21" x14ac:dyDescent="0.35">
      <c r="A6" s="12" t="s">
        <v>13</v>
      </c>
      <c r="B6" s="13">
        <v>9623.7200000000012</v>
      </c>
      <c r="C6" s="18">
        <v>22865</v>
      </c>
      <c r="D6" s="7">
        <v>30065</v>
      </c>
      <c r="E6" s="8">
        <f t="shared" si="0"/>
        <v>2423.7200000000012</v>
      </c>
      <c r="F6" s="16">
        <v>244</v>
      </c>
      <c r="G6" s="17">
        <v>59</v>
      </c>
      <c r="H6" s="6">
        <f t="shared" si="1"/>
        <v>303</v>
      </c>
      <c r="I6" s="11">
        <v>113734</v>
      </c>
      <c r="J6" s="11">
        <f t="shared" si="2"/>
        <v>136599</v>
      </c>
    </row>
    <row r="7" spans="1:10" ht="21" x14ac:dyDescent="0.35">
      <c r="A7" s="12" t="s">
        <v>14</v>
      </c>
      <c r="B7" s="13">
        <v>31476.059999999998</v>
      </c>
      <c r="C7" s="14">
        <v>25760</v>
      </c>
      <c r="D7" s="7">
        <v>43469.919999999998</v>
      </c>
      <c r="E7" s="8">
        <f>B7+C7-D7</f>
        <v>13766.14</v>
      </c>
      <c r="F7" s="16">
        <v>66</v>
      </c>
      <c r="G7" s="17">
        <v>5</v>
      </c>
      <c r="H7" s="6">
        <f t="shared" si="1"/>
        <v>71</v>
      </c>
      <c r="I7" s="11">
        <v>366035</v>
      </c>
      <c r="J7" s="11">
        <f t="shared" si="2"/>
        <v>391795</v>
      </c>
    </row>
    <row r="8" spans="1:10" ht="21" x14ac:dyDescent="0.35">
      <c r="A8" s="12" t="s">
        <v>15</v>
      </c>
      <c r="B8" s="13">
        <v>10524.97</v>
      </c>
      <c r="C8" s="14">
        <v>0</v>
      </c>
      <c r="D8" s="7">
        <v>0</v>
      </c>
      <c r="E8" s="8">
        <f>B8+C8-D8</f>
        <v>10524.97</v>
      </c>
      <c r="F8" s="16">
        <v>0</v>
      </c>
      <c r="G8" s="17">
        <v>0</v>
      </c>
      <c r="H8" s="6">
        <v>1382</v>
      </c>
      <c r="I8" s="11">
        <v>0</v>
      </c>
      <c r="J8" s="11">
        <v>712981.61</v>
      </c>
    </row>
    <row r="9" spans="1:10" ht="21" x14ac:dyDescent="0.35">
      <c r="A9" s="12" t="s">
        <v>16</v>
      </c>
      <c r="B9" s="13">
        <v>17916.270000000004</v>
      </c>
      <c r="C9" s="14">
        <v>60905</v>
      </c>
      <c r="D9" s="7">
        <v>46367</v>
      </c>
      <c r="E9" s="8">
        <f t="shared" si="0"/>
        <v>32454.270000000004</v>
      </c>
      <c r="F9" s="16">
        <v>158</v>
      </c>
      <c r="G9" s="17">
        <v>61</v>
      </c>
      <c r="H9" s="6">
        <f t="shared" si="1"/>
        <v>219</v>
      </c>
      <c r="I9" s="11">
        <v>172833</v>
      </c>
      <c r="J9" s="11">
        <f t="shared" si="2"/>
        <v>233738</v>
      </c>
    </row>
    <row r="10" spans="1:10" ht="21" x14ac:dyDescent="0.35">
      <c r="A10" s="12" t="s">
        <v>17</v>
      </c>
      <c r="B10" s="13">
        <v>5761.4500000000007</v>
      </c>
      <c r="C10" s="14">
        <v>14175</v>
      </c>
      <c r="D10" s="7">
        <v>9355</v>
      </c>
      <c r="E10" s="8">
        <f t="shared" si="0"/>
        <v>10581.45</v>
      </c>
      <c r="F10" s="16">
        <v>418</v>
      </c>
      <c r="G10" s="17">
        <v>43</v>
      </c>
      <c r="H10" s="6">
        <f t="shared" si="1"/>
        <v>461</v>
      </c>
      <c r="I10" s="11">
        <v>147105</v>
      </c>
      <c r="J10" s="11">
        <f t="shared" si="2"/>
        <v>161280</v>
      </c>
    </row>
    <row r="11" spans="1:10" ht="21" x14ac:dyDescent="0.35">
      <c r="A11" s="12" t="s">
        <v>19</v>
      </c>
      <c r="B11" s="15">
        <v>2989.09</v>
      </c>
      <c r="C11" s="18">
        <v>10140</v>
      </c>
      <c r="D11" s="7">
        <v>9795</v>
      </c>
      <c r="E11" s="8">
        <f t="shared" si="0"/>
        <v>3334.09</v>
      </c>
      <c r="F11" s="16">
        <v>386</v>
      </c>
      <c r="G11" s="17">
        <v>19</v>
      </c>
      <c r="H11" s="6">
        <f t="shared" si="1"/>
        <v>405</v>
      </c>
      <c r="I11" s="11">
        <v>184005.69</v>
      </c>
      <c r="J11" s="11">
        <f t="shared" si="2"/>
        <v>194145.69</v>
      </c>
    </row>
    <row r="12" spans="1:10" ht="21" x14ac:dyDescent="0.35">
      <c r="A12" s="19" t="s">
        <v>21</v>
      </c>
      <c r="B12" s="13">
        <v>25182.119999999995</v>
      </c>
      <c r="C12" s="14">
        <v>24184</v>
      </c>
      <c r="D12" s="7">
        <v>29882.28</v>
      </c>
      <c r="E12" s="8">
        <f t="shared" si="0"/>
        <v>19483.839999999997</v>
      </c>
      <c r="F12" s="16">
        <v>320</v>
      </c>
      <c r="G12" s="17">
        <v>44</v>
      </c>
      <c r="H12" s="6">
        <f t="shared" si="1"/>
        <v>364</v>
      </c>
      <c r="I12" s="11">
        <v>224714</v>
      </c>
      <c r="J12" s="11">
        <f t="shared" si="2"/>
        <v>248898</v>
      </c>
    </row>
    <row r="13" spans="1:10" ht="21" x14ac:dyDescent="0.35">
      <c r="A13" s="12" t="s">
        <v>24</v>
      </c>
      <c r="B13" s="20">
        <v>2360.2200000000012</v>
      </c>
      <c r="C13" s="14">
        <v>546.70000000000005</v>
      </c>
      <c r="D13" s="7"/>
      <c r="E13" s="8">
        <f t="shared" si="0"/>
        <v>2906.920000000001</v>
      </c>
      <c r="F13" s="16">
        <v>204</v>
      </c>
      <c r="G13" s="17">
        <v>8</v>
      </c>
      <c r="H13" s="6">
        <f t="shared" si="1"/>
        <v>212</v>
      </c>
      <c r="I13" s="11">
        <v>146346</v>
      </c>
      <c r="J13" s="11">
        <f t="shared" si="2"/>
        <v>146892.70000000001</v>
      </c>
    </row>
    <row r="14" spans="1:10" ht="21" x14ac:dyDescent="0.35">
      <c r="A14" s="12" t="s">
        <v>25</v>
      </c>
      <c r="B14" s="20">
        <v>5291.1700000000019</v>
      </c>
      <c r="C14" s="14">
        <v>18356</v>
      </c>
      <c r="D14" s="7">
        <v>13155.55</v>
      </c>
      <c r="E14" s="8">
        <f t="shared" si="0"/>
        <v>10491.620000000003</v>
      </c>
      <c r="F14" s="16">
        <v>213</v>
      </c>
      <c r="G14" s="17">
        <v>29</v>
      </c>
      <c r="H14" s="6">
        <f t="shared" si="1"/>
        <v>242</v>
      </c>
      <c r="I14" s="11">
        <v>111934.86</v>
      </c>
      <c r="J14" s="11">
        <f t="shared" si="2"/>
        <v>130290.86</v>
      </c>
    </row>
    <row r="15" spans="1:10" ht="21" x14ac:dyDescent="0.35">
      <c r="A15" s="12" t="s">
        <v>26</v>
      </c>
      <c r="B15" s="20">
        <v>1791.6200000000026</v>
      </c>
      <c r="C15" s="14">
        <v>17390</v>
      </c>
      <c r="D15" s="7">
        <v>12008.07</v>
      </c>
      <c r="E15" s="8">
        <f>B15+C15-D15</f>
        <v>7173.5500000000029</v>
      </c>
      <c r="F15" s="16">
        <v>327</v>
      </c>
      <c r="G15" s="17">
        <v>34</v>
      </c>
      <c r="H15" s="6">
        <f t="shared" si="1"/>
        <v>361</v>
      </c>
      <c r="I15" s="11">
        <v>133955</v>
      </c>
      <c r="J15" s="11">
        <f t="shared" si="2"/>
        <v>151345</v>
      </c>
    </row>
    <row r="16" spans="1:10" ht="21" x14ac:dyDescent="0.35">
      <c r="A16" s="12" t="s">
        <v>28</v>
      </c>
      <c r="B16" s="20">
        <v>5860.0400000000009</v>
      </c>
      <c r="C16" s="14">
        <v>14165</v>
      </c>
      <c r="D16" s="7"/>
      <c r="E16" s="8">
        <f t="shared" si="0"/>
        <v>20025.04</v>
      </c>
      <c r="F16" s="16">
        <v>413</v>
      </c>
      <c r="G16" s="17">
        <v>33</v>
      </c>
      <c r="H16" s="6">
        <f t="shared" si="1"/>
        <v>446</v>
      </c>
      <c r="I16" s="11">
        <v>190065</v>
      </c>
      <c r="J16" s="11">
        <f t="shared" si="2"/>
        <v>204230</v>
      </c>
    </row>
    <row r="17" spans="1:10" ht="21" x14ac:dyDescent="0.35">
      <c r="A17" s="12" t="s">
        <v>29</v>
      </c>
      <c r="B17" s="20">
        <v>5445.630000000001</v>
      </c>
      <c r="C17" s="14">
        <v>4697</v>
      </c>
      <c r="D17" s="7"/>
      <c r="E17" s="8">
        <f t="shared" si="0"/>
        <v>10142.630000000001</v>
      </c>
      <c r="F17" s="16">
        <v>215</v>
      </c>
      <c r="G17" s="17">
        <v>4</v>
      </c>
      <c r="H17" s="6">
        <f t="shared" si="1"/>
        <v>219</v>
      </c>
      <c r="I17" s="11">
        <v>143918</v>
      </c>
      <c r="J17" s="11">
        <f t="shared" si="2"/>
        <v>148615</v>
      </c>
    </row>
    <row r="18" spans="1:10" ht="21" x14ac:dyDescent="0.35">
      <c r="A18" s="12" t="s">
        <v>30</v>
      </c>
      <c r="B18" s="20">
        <v>716.86000000000058</v>
      </c>
      <c r="C18" s="14">
        <v>15405</v>
      </c>
      <c r="D18" s="7">
        <v>8495</v>
      </c>
      <c r="E18" s="8">
        <f t="shared" si="0"/>
        <v>7626.8600000000006</v>
      </c>
      <c r="F18" s="16">
        <v>299</v>
      </c>
      <c r="G18" s="17">
        <v>29</v>
      </c>
      <c r="H18" s="6">
        <f t="shared" si="1"/>
        <v>328</v>
      </c>
      <c r="I18" s="11">
        <v>185640</v>
      </c>
      <c r="J18" s="11">
        <f t="shared" si="2"/>
        <v>201045</v>
      </c>
    </row>
    <row r="19" spans="1:10" ht="21" x14ac:dyDescent="0.35">
      <c r="A19" s="12" t="s">
        <v>31</v>
      </c>
      <c r="B19" s="20">
        <v>7678.5500000000029</v>
      </c>
      <c r="C19" s="14">
        <v>25058</v>
      </c>
      <c r="D19" s="7">
        <v>10000</v>
      </c>
      <c r="E19" s="8">
        <f t="shared" si="0"/>
        <v>22736.550000000003</v>
      </c>
      <c r="F19" s="16">
        <v>312</v>
      </c>
      <c r="G19" s="17">
        <v>43</v>
      </c>
      <c r="H19" s="6">
        <f t="shared" si="1"/>
        <v>355</v>
      </c>
      <c r="I19" s="11">
        <v>169720</v>
      </c>
      <c r="J19" s="11">
        <f t="shared" si="2"/>
        <v>194778</v>
      </c>
    </row>
    <row r="20" spans="1:10" ht="21" x14ac:dyDescent="0.35">
      <c r="A20" s="12" t="s">
        <v>32</v>
      </c>
      <c r="B20" s="20">
        <v>5238.0599999999977</v>
      </c>
      <c r="C20" s="14">
        <v>12783</v>
      </c>
      <c r="D20" s="7"/>
      <c r="E20" s="8">
        <f t="shared" si="0"/>
        <v>18021.059999999998</v>
      </c>
      <c r="F20" s="16">
        <v>256</v>
      </c>
      <c r="G20" s="17">
        <v>14</v>
      </c>
      <c r="H20" s="6">
        <f t="shared" si="1"/>
        <v>270</v>
      </c>
      <c r="I20" s="11">
        <v>220768</v>
      </c>
      <c r="J20" s="11">
        <f t="shared" si="2"/>
        <v>233551</v>
      </c>
    </row>
    <row r="21" spans="1:10" ht="21" x14ac:dyDescent="0.35">
      <c r="A21" s="12" t="s">
        <v>33</v>
      </c>
      <c r="B21" s="13">
        <v>3995.66</v>
      </c>
      <c r="C21" s="6">
        <v>18265</v>
      </c>
      <c r="D21" s="7">
        <v>20000</v>
      </c>
      <c r="E21" s="8">
        <f t="shared" si="0"/>
        <v>2260.66</v>
      </c>
      <c r="F21" s="16">
        <v>245</v>
      </c>
      <c r="G21" s="17">
        <v>31</v>
      </c>
      <c r="H21" s="6">
        <f t="shared" si="1"/>
        <v>276</v>
      </c>
      <c r="I21" s="11">
        <v>114924</v>
      </c>
      <c r="J21" s="11">
        <f t="shared" si="2"/>
        <v>133189</v>
      </c>
    </row>
    <row r="22" spans="1:10" ht="21" x14ac:dyDescent="0.35">
      <c r="A22" s="12" t="s">
        <v>34</v>
      </c>
      <c r="B22" s="20">
        <v>336.76000000000204</v>
      </c>
      <c r="C22" s="14">
        <v>18568</v>
      </c>
      <c r="D22" s="7"/>
      <c r="E22" s="8">
        <f t="shared" si="0"/>
        <v>18904.760000000002</v>
      </c>
      <c r="F22" s="16">
        <v>203</v>
      </c>
      <c r="G22" s="17">
        <v>24</v>
      </c>
      <c r="H22" s="6">
        <f t="shared" si="1"/>
        <v>227</v>
      </c>
      <c r="I22" s="11">
        <v>175861</v>
      </c>
      <c r="J22" s="11">
        <f t="shared" si="2"/>
        <v>194429</v>
      </c>
    </row>
    <row r="23" spans="1:10" ht="21" x14ac:dyDescent="0.35">
      <c r="A23" s="12" t="s">
        <v>35</v>
      </c>
      <c r="B23" s="20">
        <v>583.75999999999476</v>
      </c>
      <c r="C23" s="14">
        <v>32090</v>
      </c>
      <c r="D23" s="7"/>
      <c r="E23" s="8">
        <f t="shared" si="0"/>
        <v>32673.759999999995</v>
      </c>
      <c r="F23" s="16">
        <v>455</v>
      </c>
      <c r="G23" s="17">
        <v>63</v>
      </c>
      <c r="H23" s="6">
        <f t="shared" si="1"/>
        <v>518</v>
      </c>
      <c r="I23" s="11">
        <v>201454</v>
      </c>
      <c r="J23" s="11">
        <f t="shared" si="2"/>
        <v>233544</v>
      </c>
    </row>
    <row r="24" spans="1:10" ht="21" x14ac:dyDescent="0.35">
      <c r="A24" s="12" t="s">
        <v>36</v>
      </c>
      <c r="B24" s="22">
        <v>5992.9099999999962</v>
      </c>
      <c r="C24" s="23">
        <v>9005</v>
      </c>
      <c r="D24" s="7"/>
      <c r="E24" s="8">
        <f t="shared" si="0"/>
        <v>14997.909999999996</v>
      </c>
      <c r="F24" s="16">
        <v>333</v>
      </c>
      <c r="G24" s="17">
        <v>20</v>
      </c>
      <c r="H24" s="6">
        <f t="shared" si="1"/>
        <v>353</v>
      </c>
      <c r="I24" s="11">
        <v>210425</v>
      </c>
      <c r="J24" s="11">
        <f t="shared" si="2"/>
        <v>219430</v>
      </c>
    </row>
    <row r="25" spans="1:10" ht="21.75" thickBot="1" x14ac:dyDescent="0.45">
      <c r="A25" s="1"/>
      <c r="B25" s="24">
        <f>SUM(B3:B24)</f>
        <v>175157.25999999998</v>
      </c>
      <c r="C25" s="25">
        <f>SUM(C3:C24)</f>
        <v>386082.7</v>
      </c>
      <c r="D25" s="26">
        <f>SUM(D3:D24)</f>
        <v>283841.70999999996</v>
      </c>
      <c r="E25" s="8">
        <f>SUM(E3:E24)</f>
        <v>277398.24999999994</v>
      </c>
      <c r="F25" s="1"/>
      <c r="G25" s="1"/>
      <c r="H25" s="1"/>
      <c r="I25" s="27"/>
      <c r="J25" s="27">
        <f>SUM(J3:J24)</f>
        <v>4944309.8599999994</v>
      </c>
    </row>
    <row r="26" spans="1:10" ht="15.75" thickTop="1" x14ac:dyDescent="0.15"/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8329-C4CA-0F46-A96A-3F590890070A}">
  <dimension ref="A1:J26"/>
  <sheetViews>
    <sheetView zoomScale="75" zoomScaleNormal="150" zoomScaleSheetLayoutView="100" workbookViewId="0">
      <selection sqref="A1:XFD1048576"/>
    </sheetView>
  </sheetViews>
  <sheetFormatPr baseColWidth="10" defaultColWidth="8.7109375" defaultRowHeight="15" x14ac:dyDescent="0.15"/>
  <cols>
    <col min="1" max="1" width="12.85546875" customWidth="1"/>
  </cols>
  <sheetData>
    <row r="1" spans="1:10" ht="21" x14ac:dyDescent="0.15">
      <c r="A1" s="31" t="s">
        <v>41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44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9</v>
      </c>
    </row>
    <row r="3" spans="1:10" ht="21" x14ac:dyDescent="0.35">
      <c r="A3" s="4" t="s">
        <v>10</v>
      </c>
      <c r="B3" s="5">
        <v>397.43000000000029</v>
      </c>
      <c r="C3" s="6">
        <v>14000</v>
      </c>
      <c r="D3" s="7">
        <v>3399</v>
      </c>
      <c r="E3" s="8">
        <f t="shared" ref="E3:E24" si="0">B3+C3-D3</f>
        <v>10998.43</v>
      </c>
      <c r="F3" s="9">
        <v>20</v>
      </c>
      <c r="G3" s="10">
        <v>1</v>
      </c>
      <c r="H3" s="6">
        <f t="shared" ref="H3:H24" si="1">F3+G3</f>
        <v>21</v>
      </c>
      <c r="I3" s="11">
        <v>373590</v>
      </c>
      <c r="J3" s="11">
        <f t="shared" ref="J3:J24" si="2">I3+C3</f>
        <v>387590</v>
      </c>
    </row>
    <row r="4" spans="1:10" ht="21" x14ac:dyDescent="0.35">
      <c r="A4" s="12" t="s">
        <v>11</v>
      </c>
      <c r="B4" s="13">
        <v>11930.829999999994</v>
      </c>
      <c r="C4" s="14">
        <v>6450</v>
      </c>
      <c r="D4" s="7">
        <v>750</v>
      </c>
      <c r="E4" s="8">
        <f t="shared" si="0"/>
        <v>17630.829999999994</v>
      </c>
      <c r="F4" s="16">
        <v>66</v>
      </c>
      <c r="G4" s="10">
        <v>20</v>
      </c>
      <c r="H4" s="6">
        <f t="shared" si="1"/>
        <v>86</v>
      </c>
      <c r="I4" s="11">
        <v>126329</v>
      </c>
      <c r="J4" s="11">
        <f t="shared" si="2"/>
        <v>132779</v>
      </c>
    </row>
    <row r="5" spans="1:10" ht="21" x14ac:dyDescent="0.35">
      <c r="A5" s="12" t="s">
        <v>12</v>
      </c>
      <c r="B5" s="13">
        <v>4540.1900000000023</v>
      </c>
      <c r="C5" s="14">
        <v>14650</v>
      </c>
      <c r="D5" s="7">
        <v>2500</v>
      </c>
      <c r="E5" s="8">
        <f t="shared" si="0"/>
        <v>16690.190000000002</v>
      </c>
      <c r="F5" s="16">
        <v>62</v>
      </c>
      <c r="G5" s="10">
        <v>5</v>
      </c>
      <c r="H5" s="6">
        <f t="shared" si="1"/>
        <v>67</v>
      </c>
      <c r="I5" s="11">
        <v>173614</v>
      </c>
      <c r="J5" s="11">
        <f t="shared" si="2"/>
        <v>188264</v>
      </c>
    </row>
    <row r="6" spans="1:10" ht="21" x14ac:dyDescent="0.35">
      <c r="A6" s="12" t="s">
        <v>13</v>
      </c>
      <c r="B6" s="13">
        <v>2423.7200000000012</v>
      </c>
      <c r="C6" s="18">
        <v>8645</v>
      </c>
      <c r="D6" s="7">
        <v>5990</v>
      </c>
      <c r="E6" s="8">
        <f t="shared" si="0"/>
        <v>5078.7200000000012</v>
      </c>
      <c r="F6" s="16">
        <v>303</v>
      </c>
      <c r="G6" s="10">
        <v>19</v>
      </c>
      <c r="H6" s="6">
        <f t="shared" si="1"/>
        <v>322</v>
      </c>
      <c r="I6" s="11">
        <v>136599</v>
      </c>
      <c r="J6" s="11">
        <f t="shared" si="2"/>
        <v>145244</v>
      </c>
    </row>
    <row r="7" spans="1:10" ht="21" x14ac:dyDescent="0.35">
      <c r="A7" s="12" t="s">
        <v>14</v>
      </c>
      <c r="B7" s="13">
        <v>13766.14</v>
      </c>
      <c r="C7" s="14">
        <v>14500</v>
      </c>
      <c r="D7" s="7">
        <v>23420</v>
      </c>
      <c r="E7" s="8">
        <f>B7+C7-D7</f>
        <v>4846.1399999999994</v>
      </c>
      <c r="F7" s="16">
        <v>71</v>
      </c>
      <c r="G7" s="10">
        <v>3</v>
      </c>
      <c r="H7" s="6">
        <f t="shared" si="1"/>
        <v>74</v>
      </c>
      <c r="I7" s="11">
        <v>391795</v>
      </c>
      <c r="J7" s="11">
        <f t="shared" si="2"/>
        <v>406295</v>
      </c>
    </row>
    <row r="8" spans="1:10" ht="21" x14ac:dyDescent="0.35">
      <c r="A8" s="12" t="s">
        <v>15</v>
      </c>
      <c r="B8" s="13">
        <v>10524.97</v>
      </c>
      <c r="C8" s="14">
        <v>1124</v>
      </c>
      <c r="D8" s="7">
        <v>6891</v>
      </c>
      <c r="E8" s="8">
        <f>B8+C8-D8</f>
        <v>4757.9699999999993</v>
      </c>
      <c r="F8" s="16">
        <v>1382</v>
      </c>
      <c r="G8" s="10">
        <v>10</v>
      </c>
      <c r="H8" s="6">
        <f t="shared" si="1"/>
        <v>1392</v>
      </c>
      <c r="I8" s="11">
        <v>712981.61</v>
      </c>
      <c r="J8" s="11">
        <v>712981.61</v>
      </c>
    </row>
    <row r="9" spans="1:10" ht="21" x14ac:dyDescent="0.35">
      <c r="A9" s="12" t="s">
        <v>16</v>
      </c>
      <c r="B9" s="13">
        <v>32454.270000000004</v>
      </c>
      <c r="C9" s="14">
        <v>4165</v>
      </c>
      <c r="D9" s="7">
        <v>21000</v>
      </c>
      <c r="E9" s="8">
        <f t="shared" si="0"/>
        <v>15619.270000000004</v>
      </c>
      <c r="F9" s="16">
        <v>219</v>
      </c>
      <c r="G9" s="10">
        <v>5</v>
      </c>
      <c r="H9" s="6">
        <f t="shared" si="1"/>
        <v>224</v>
      </c>
      <c r="I9" s="11">
        <v>233738</v>
      </c>
      <c r="J9" s="11">
        <f t="shared" si="2"/>
        <v>237903</v>
      </c>
    </row>
    <row r="10" spans="1:10" ht="21" x14ac:dyDescent="0.35">
      <c r="A10" s="12" t="s">
        <v>17</v>
      </c>
      <c r="B10" s="13">
        <v>10581.45</v>
      </c>
      <c r="C10" s="14">
        <v>6300</v>
      </c>
      <c r="D10" s="7">
        <v>16420</v>
      </c>
      <c r="E10" s="8">
        <f t="shared" si="0"/>
        <v>461.45000000000073</v>
      </c>
      <c r="F10" s="16">
        <v>461</v>
      </c>
      <c r="G10" s="10">
        <v>20</v>
      </c>
      <c r="H10" s="6">
        <f t="shared" si="1"/>
        <v>481</v>
      </c>
      <c r="I10" s="11">
        <v>161280</v>
      </c>
      <c r="J10" s="11">
        <f t="shared" si="2"/>
        <v>167580</v>
      </c>
    </row>
    <row r="11" spans="1:10" ht="21" x14ac:dyDescent="0.35">
      <c r="A11" s="12" t="s">
        <v>19</v>
      </c>
      <c r="B11" s="15">
        <v>3334.09</v>
      </c>
      <c r="C11" s="18"/>
      <c r="D11" s="7">
        <v>2850</v>
      </c>
      <c r="E11" s="8">
        <f t="shared" si="0"/>
        <v>484.09000000000015</v>
      </c>
      <c r="F11" s="16">
        <v>405</v>
      </c>
      <c r="G11" s="10"/>
      <c r="H11" s="6">
        <f t="shared" si="1"/>
        <v>405</v>
      </c>
      <c r="I11" s="11">
        <v>194145.69</v>
      </c>
      <c r="J11" s="11">
        <f t="shared" si="2"/>
        <v>194145.69</v>
      </c>
    </row>
    <row r="12" spans="1:10" ht="21" x14ac:dyDescent="0.35">
      <c r="A12" s="19" t="s">
        <v>21</v>
      </c>
      <c r="B12" s="13">
        <v>19483.839999999997</v>
      </c>
      <c r="C12" s="14">
        <v>12196</v>
      </c>
      <c r="D12" s="7">
        <v>17500</v>
      </c>
      <c r="E12" s="8">
        <f t="shared" si="0"/>
        <v>14179.839999999997</v>
      </c>
      <c r="F12" s="16">
        <v>364</v>
      </c>
      <c r="G12" s="10">
        <v>22</v>
      </c>
      <c r="H12" s="6">
        <f t="shared" si="1"/>
        <v>386</v>
      </c>
      <c r="I12" s="11">
        <v>248898</v>
      </c>
      <c r="J12" s="11">
        <f t="shared" si="2"/>
        <v>261094</v>
      </c>
    </row>
    <row r="13" spans="1:10" ht="21" x14ac:dyDescent="0.35">
      <c r="A13" s="12" t="s">
        <v>24</v>
      </c>
      <c r="B13" s="20">
        <v>2906.920000000001</v>
      </c>
      <c r="C13" s="14">
        <v>1510</v>
      </c>
      <c r="D13" s="7">
        <v>1495</v>
      </c>
      <c r="E13" s="8">
        <f t="shared" si="0"/>
        <v>2921.920000000001</v>
      </c>
      <c r="F13" s="16">
        <v>212</v>
      </c>
      <c r="G13" s="10">
        <v>2</v>
      </c>
      <c r="H13" s="6">
        <f t="shared" si="1"/>
        <v>214</v>
      </c>
      <c r="I13" s="11">
        <v>146892.70000000001</v>
      </c>
      <c r="J13" s="11">
        <f t="shared" si="2"/>
        <v>148402.70000000001</v>
      </c>
    </row>
    <row r="14" spans="1:10" ht="21" x14ac:dyDescent="0.35">
      <c r="A14" s="12" t="s">
        <v>25</v>
      </c>
      <c r="B14" s="20">
        <v>10491.620000000003</v>
      </c>
      <c r="C14" s="14">
        <v>3766</v>
      </c>
      <c r="D14" s="7">
        <v>2397</v>
      </c>
      <c r="E14" s="8">
        <f t="shared" si="0"/>
        <v>11860.620000000003</v>
      </c>
      <c r="F14" s="16">
        <v>242</v>
      </c>
      <c r="G14" s="10">
        <v>6</v>
      </c>
      <c r="H14" s="6">
        <f t="shared" si="1"/>
        <v>248</v>
      </c>
      <c r="I14" s="11">
        <v>130290.86</v>
      </c>
      <c r="J14" s="11">
        <f t="shared" si="2"/>
        <v>134056.85999999999</v>
      </c>
    </row>
    <row r="15" spans="1:10" ht="21" x14ac:dyDescent="0.35">
      <c r="A15" s="12" t="s">
        <v>26</v>
      </c>
      <c r="B15" s="20">
        <v>7173.5500000000029</v>
      </c>
      <c r="C15" s="14">
        <v>2281</v>
      </c>
      <c r="D15" s="7"/>
      <c r="E15" s="8">
        <f>B15+C15-D15</f>
        <v>9454.5500000000029</v>
      </c>
      <c r="F15" s="16">
        <v>361</v>
      </c>
      <c r="G15" s="10">
        <v>3</v>
      </c>
      <c r="H15" s="6">
        <f t="shared" si="1"/>
        <v>364</v>
      </c>
      <c r="I15" s="11">
        <v>151345</v>
      </c>
      <c r="J15" s="11">
        <f t="shared" si="2"/>
        <v>153626</v>
      </c>
    </row>
    <row r="16" spans="1:10" ht="21" x14ac:dyDescent="0.35">
      <c r="A16" s="12" t="s">
        <v>28</v>
      </c>
      <c r="B16" s="20">
        <v>20025.04</v>
      </c>
      <c r="C16" s="14"/>
      <c r="D16" s="7"/>
      <c r="E16" s="8">
        <f t="shared" si="0"/>
        <v>20025.04</v>
      </c>
      <c r="F16" s="16">
        <v>446</v>
      </c>
      <c r="G16" s="10"/>
      <c r="H16" s="6">
        <f t="shared" si="1"/>
        <v>446</v>
      </c>
      <c r="I16" s="11">
        <v>204230</v>
      </c>
      <c r="J16" s="11">
        <f t="shared" si="2"/>
        <v>204230</v>
      </c>
    </row>
    <row r="17" spans="1:10" ht="21" x14ac:dyDescent="0.35">
      <c r="A17" s="12" t="s">
        <v>29</v>
      </c>
      <c r="B17" s="20">
        <v>10142.630000000001</v>
      </c>
      <c r="C17" s="14">
        <v>1057</v>
      </c>
      <c r="D17" s="7"/>
      <c r="E17" s="8">
        <f t="shared" si="0"/>
        <v>11199.630000000001</v>
      </c>
      <c r="F17" s="16">
        <v>219</v>
      </c>
      <c r="G17" s="10">
        <v>1</v>
      </c>
      <c r="H17" s="6">
        <f t="shared" si="1"/>
        <v>220</v>
      </c>
      <c r="I17" s="11">
        <v>148615</v>
      </c>
      <c r="J17" s="11">
        <f t="shared" si="2"/>
        <v>149672</v>
      </c>
    </row>
    <row r="18" spans="1:10" ht="21" x14ac:dyDescent="0.35">
      <c r="A18" s="12" t="s">
        <v>30</v>
      </c>
      <c r="B18" s="20">
        <v>7626.8600000000006</v>
      </c>
      <c r="C18" s="14">
        <v>274</v>
      </c>
      <c r="D18" s="7"/>
      <c r="E18" s="8">
        <f t="shared" si="0"/>
        <v>7900.8600000000006</v>
      </c>
      <c r="F18" s="16">
        <v>328</v>
      </c>
      <c r="G18" s="10">
        <v>1</v>
      </c>
      <c r="H18" s="6">
        <f t="shared" si="1"/>
        <v>329</v>
      </c>
      <c r="I18" s="11">
        <v>201045</v>
      </c>
      <c r="J18" s="11">
        <f t="shared" si="2"/>
        <v>201319</v>
      </c>
    </row>
    <row r="19" spans="1:10" ht="21" x14ac:dyDescent="0.35">
      <c r="A19" s="12" t="s">
        <v>31</v>
      </c>
      <c r="B19" s="20">
        <v>22736.550000000003</v>
      </c>
      <c r="C19" s="14">
        <v>13677</v>
      </c>
      <c r="D19" s="7"/>
      <c r="E19" s="8">
        <f t="shared" si="0"/>
        <v>36413.550000000003</v>
      </c>
      <c r="F19" s="16">
        <v>355</v>
      </c>
      <c r="G19" s="10">
        <v>24</v>
      </c>
      <c r="H19" s="6">
        <f t="shared" si="1"/>
        <v>379</v>
      </c>
      <c r="I19" s="11">
        <v>194778</v>
      </c>
      <c r="J19" s="11">
        <f t="shared" si="2"/>
        <v>208455</v>
      </c>
    </row>
    <row r="20" spans="1:10" ht="21" x14ac:dyDescent="0.35">
      <c r="A20" s="12" t="s">
        <v>32</v>
      </c>
      <c r="B20" s="20">
        <v>18021.059999999998</v>
      </c>
      <c r="C20" s="14">
        <v>7268</v>
      </c>
      <c r="D20" s="7"/>
      <c r="E20" s="8">
        <f t="shared" si="0"/>
        <v>25289.059999999998</v>
      </c>
      <c r="F20" s="16">
        <v>270</v>
      </c>
      <c r="G20" s="10">
        <v>8</v>
      </c>
      <c r="H20" s="6">
        <f t="shared" si="1"/>
        <v>278</v>
      </c>
      <c r="I20" s="11">
        <v>233551</v>
      </c>
      <c r="J20" s="11">
        <f t="shared" si="2"/>
        <v>240819</v>
      </c>
    </row>
    <row r="21" spans="1:10" ht="21" x14ac:dyDescent="0.35">
      <c r="A21" s="12" t="s">
        <v>33</v>
      </c>
      <c r="B21" s="13">
        <v>2260.66</v>
      </c>
      <c r="C21" s="6">
        <v>3515</v>
      </c>
      <c r="D21" s="7"/>
      <c r="E21" s="8">
        <f t="shared" si="0"/>
        <v>5775.66</v>
      </c>
      <c r="F21" s="16">
        <v>276</v>
      </c>
      <c r="G21" s="10">
        <v>4</v>
      </c>
      <c r="H21" s="6">
        <f t="shared" si="1"/>
        <v>280</v>
      </c>
      <c r="I21" s="11">
        <v>133189</v>
      </c>
      <c r="J21" s="11">
        <f t="shared" si="2"/>
        <v>136704</v>
      </c>
    </row>
    <row r="22" spans="1:10" ht="21" x14ac:dyDescent="0.35">
      <c r="A22" s="12" t="s">
        <v>34</v>
      </c>
      <c r="B22" s="20">
        <v>18904.760000000002</v>
      </c>
      <c r="C22" s="14">
        <v>1207</v>
      </c>
      <c r="D22" s="7"/>
      <c r="E22" s="8">
        <f t="shared" si="0"/>
        <v>20111.760000000002</v>
      </c>
      <c r="F22" s="16">
        <v>227</v>
      </c>
      <c r="G22" s="10">
        <v>2</v>
      </c>
      <c r="H22" s="6">
        <f t="shared" si="1"/>
        <v>229</v>
      </c>
      <c r="I22" s="11">
        <v>194429</v>
      </c>
      <c r="J22" s="11">
        <f t="shared" si="2"/>
        <v>195636</v>
      </c>
    </row>
    <row r="23" spans="1:10" ht="21" x14ac:dyDescent="0.35">
      <c r="A23" s="12" t="s">
        <v>35</v>
      </c>
      <c r="B23" s="20">
        <v>32673.759999999995</v>
      </c>
      <c r="C23" s="14">
        <v>6140</v>
      </c>
      <c r="D23" s="7"/>
      <c r="E23" s="8">
        <f t="shared" si="0"/>
        <v>38813.759999999995</v>
      </c>
      <c r="F23" s="16">
        <v>518</v>
      </c>
      <c r="G23" s="10">
        <v>3</v>
      </c>
      <c r="H23" s="6">
        <f t="shared" si="1"/>
        <v>521</v>
      </c>
      <c r="I23" s="11">
        <v>233544</v>
      </c>
      <c r="J23" s="11">
        <f t="shared" si="2"/>
        <v>239684</v>
      </c>
    </row>
    <row r="24" spans="1:10" ht="21" x14ac:dyDescent="0.35">
      <c r="A24" s="12" t="s">
        <v>36</v>
      </c>
      <c r="B24" s="22">
        <v>14997.909999999996</v>
      </c>
      <c r="C24" s="23">
        <v>4725</v>
      </c>
      <c r="D24" s="7">
        <v>16000</v>
      </c>
      <c r="E24" s="8">
        <f t="shared" si="0"/>
        <v>3722.9099999999962</v>
      </c>
      <c r="F24" s="16">
        <v>353</v>
      </c>
      <c r="G24" s="10">
        <v>14</v>
      </c>
      <c r="H24" s="6">
        <f t="shared" si="1"/>
        <v>367</v>
      </c>
      <c r="I24" s="11">
        <v>219430</v>
      </c>
      <c r="J24" s="11">
        <f t="shared" si="2"/>
        <v>224155</v>
      </c>
    </row>
    <row r="25" spans="1:10" ht="21.75" thickBot="1" x14ac:dyDescent="0.45">
      <c r="A25" s="1"/>
      <c r="B25" s="24">
        <f>SUM(B3:B24)</f>
        <v>277398.24999999994</v>
      </c>
      <c r="C25" s="25">
        <f>SUM(C3:C24)</f>
        <v>127450</v>
      </c>
      <c r="D25" s="26">
        <f>SUM(D3:D24)</f>
        <v>120612</v>
      </c>
      <c r="E25" s="8">
        <f>SUM(E3:E24)</f>
        <v>284236.24999999994</v>
      </c>
      <c r="F25" s="1"/>
      <c r="G25" s="1"/>
      <c r="H25" s="1"/>
      <c r="I25" s="27"/>
      <c r="J25" s="27">
        <f>SUM(J3:J24)</f>
        <v>5070635.8599999994</v>
      </c>
    </row>
    <row r="26" spans="1:10" ht="15.75" thickTop="1" x14ac:dyDescent="0.15"/>
  </sheetData>
  <mergeCells count="1">
    <mergeCell ref="A1:J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A813-5C4F-2B46-85EF-6218D97BDCC9}">
  <dimension ref="A1:J26"/>
  <sheetViews>
    <sheetView zoomScale="125" workbookViewId="0">
      <selection activeCell="I9" sqref="I9"/>
    </sheetView>
  </sheetViews>
  <sheetFormatPr baseColWidth="10" defaultColWidth="8.7109375" defaultRowHeight="15" x14ac:dyDescent="0.15"/>
  <cols>
    <col min="1" max="1" width="12.85546875" customWidth="1"/>
  </cols>
  <sheetData>
    <row r="1" spans="1:10" ht="21" x14ac:dyDescent="0.15">
      <c r="A1" s="31" t="s">
        <v>42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44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9</v>
      </c>
    </row>
    <row r="3" spans="1:10" ht="21" x14ac:dyDescent="0.35">
      <c r="A3" s="4" t="s">
        <v>10</v>
      </c>
      <c r="B3" s="5">
        <v>10998.43</v>
      </c>
      <c r="C3" s="6">
        <v>70000</v>
      </c>
      <c r="D3" s="7">
        <v>40000</v>
      </c>
      <c r="E3" s="8">
        <f t="shared" ref="E3:E24" si="0">B3+C3-D3</f>
        <v>40998.429999999993</v>
      </c>
      <c r="F3" s="9">
        <v>21</v>
      </c>
      <c r="G3" s="10">
        <v>1</v>
      </c>
      <c r="H3" s="6">
        <f t="shared" ref="H3:H24" si="1">F3+G3</f>
        <v>22</v>
      </c>
      <c r="I3" s="11">
        <v>387590</v>
      </c>
      <c r="J3" s="11">
        <f>I3+C3</f>
        <v>457590</v>
      </c>
    </row>
    <row r="4" spans="1:10" ht="21" x14ac:dyDescent="0.35">
      <c r="A4" s="12" t="s">
        <v>11</v>
      </c>
      <c r="B4" s="13">
        <v>17630.829999999994</v>
      </c>
      <c r="C4" s="6">
        <v>1971</v>
      </c>
      <c r="D4" s="7">
        <v>3500</v>
      </c>
      <c r="E4" s="8">
        <f t="shared" si="0"/>
        <v>16101.829999999994</v>
      </c>
      <c r="F4" s="16">
        <v>86</v>
      </c>
      <c r="G4" s="10">
        <v>17</v>
      </c>
      <c r="H4" s="6">
        <f t="shared" si="1"/>
        <v>103</v>
      </c>
      <c r="I4" s="11">
        <v>132779</v>
      </c>
      <c r="J4" s="11">
        <f t="shared" ref="J4:J24" si="2">I4+C4</f>
        <v>134750</v>
      </c>
    </row>
    <row r="5" spans="1:10" ht="21" x14ac:dyDescent="0.35">
      <c r="A5" s="12" t="s">
        <v>12</v>
      </c>
      <c r="B5" s="13">
        <v>16690.190000000002</v>
      </c>
      <c r="C5" s="6">
        <v>85435</v>
      </c>
      <c r="D5" s="7">
        <v>52550</v>
      </c>
      <c r="E5" s="8">
        <f t="shared" si="0"/>
        <v>49575.19</v>
      </c>
      <c r="F5" s="16">
        <v>67</v>
      </c>
      <c r="G5" s="10">
        <v>11</v>
      </c>
      <c r="H5" s="6">
        <f t="shared" si="1"/>
        <v>78</v>
      </c>
      <c r="I5" s="11">
        <v>188264</v>
      </c>
      <c r="J5" s="11">
        <f t="shared" si="2"/>
        <v>273699</v>
      </c>
    </row>
    <row r="6" spans="1:10" ht="21" x14ac:dyDescent="0.35">
      <c r="A6" s="12" t="s">
        <v>13</v>
      </c>
      <c r="B6" s="13">
        <v>5078.7200000000012</v>
      </c>
      <c r="C6" s="6">
        <v>5670</v>
      </c>
      <c r="D6" s="7">
        <v>8968</v>
      </c>
      <c r="E6" s="8">
        <f t="shared" si="0"/>
        <v>1780.7200000000012</v>
      </c>
      <c r="F6" s="16">
        <v>322</v>
      </c>
      <c r="G6" s="10">
        <v>17</v>
      </c>
      <c r="H6" s="6">
        <f t="shared" si="1"/>
        <v>339</v>
      </c>
      <c r="I6" s="11">
        <v>145244</v>
      </c>
      <c r="J6" s="11">
        <f t="shared" si="2"/>
        <v>150914</v>
      </c>
    </row>
    <row r="7" spans="1:10" ht="21" x14ac:dyDescent="0.35">
      <c r="A7" s="12" t="s">
        <v>14</v>
      </c>
      <c r="B7" s="13">
        <v>4846.1399999999994</v>
      </c>
      <c r="C7" s="6">
        <v>52133</v>
      </c>
      <c r="D7" s="7">
        <v>5146</v>
      </c>
      <c r="E7" s="8">
        <f t="shared" si="0"/>
        <v>51833.14</v>
      </c>
      <c r="F7" s="16">
        <v>74</v>
      </c>
      <c r="G7" s="10">
        <v>3</v>
      </c>
      <c r="H7" s="6">
        <f t="shared" si="1"/>
        <v>77</v>
      </c>
      <c r="I7" s="11">
        <v>406295</v>
      </c>
      <c r="J7" s="11">
        <f t="shared" si="2"/>
        <v>458428</v>
      </c>
    </row>
    <row r="8" spans="1:10" ht="21" x14ac:dyDescent="0.35">
      <c r="A8" s="12" t="s">
        <v>15</v>
      </c>
      <c r="B8" s="13">
        <v>4757.9699999999993</v>
      </c>
      <c r="C8" s="6">
        <v>6620</v>
      </c>
      <c r="D8" s="7">
        <v>2000</v>
      </c>
      <c r="E8" s="8">
        <f t="shared" si="0"/>
        <v>9377.9699999999993</v>
      </c>
      <c r="F8" s="16">
        <v>427</v>
      </c>
      <c r="G8" s="10">
        <v>20</v>
      </c>
      <c r="H8" s="6">
        <f t="shared" si="1"/>
        <v>447</v>
      </c>
      <c r="I8" s="11">
        <v>159848</v>
      </c>
      <c r="J8" s="11">
        <f t="shared" si="2"/>
        <v>166468</v>
      </c>
    </row>
    <row r="9" spans="1:10" ht="21" x14ac:dyDescent="0.35">
      <c r="A9" s="12" t="s">
        <v>16</v>
      </c>
      <c r="B9" s="13">
        <v>15619.270000000004</v>
      </c>
      <c r="C9" s="6">
        <v>12259</v>
      </c>
      <c r="D9" s="7">
        <v>17515</v>
      </c>
      <c r="E9" s="8">
        <f t="shared" si="0"/>
        <v>10363.270000000004</v>
      </c>
      <c r="F9" s="16">
        <v>224</v>
      </c>
      <c r="G9" s="10">
        <v>17</v>
      </c>
      <c r="H9" s="6">
        <f t="shared" si="1"/>
        <v>241</v>
      </c>
      <c r="I9" s="11">
        <v>237903</v>
      </c>
      <c r="J9" s="11">
        <f t="shared" si="2"/>
        <v>250162</v>
      </c>
    </row>
    <row r="10" spans="1:10" ht="21" x14ac:dyDescent="0.35">
      <c r="A10" s="12" t="s">
        <v>17</v>
      </c>
      <c r="B10" s="13">
        <v>461.45000000000073</v>
      </c>
      <c r="C10" s="6">
        <v>0</v>
      </c>
      <c r="D10" s="7">
        <v>0</v>
      </c>
      <c r="E10" s="8">
        <f t="shared" si="0"/>
        <v>461.45000000000073</v>
      </c>
      <c r="F10" s="16">
        <v>481</v>
      </c>
      <c r="G10" s="10"/>
      <c r="H10" s="6">
        <f t="shared" si="1"/>
        <v>481</v>
      </c>
      <c r="I10" s="11">
        <v>167580</v>
      </c>
      <c r="J10" s="11">
        <f t="shared" si="2"/>
        <v>167580</v>
      </c>
    </row>
    <row r="11" spans="1:10" ht="21" x14ac:dyDescent="0.35">
      <c r="A11" s="12" t="s">
        <v>19</v>
      </c>
      <c r="B11" s="15">
        <v>484.09000000000015</v>
      </c>
      <c r="C11" s="6">
        <v>2650</v>
      </c>
      <c r="D11" s="7"/>
      <c r="E11" s="8">
        <f t="shared" si="0"/>
        <v>3134.09</v>
      </c>
      <c r="F11" s="16">
        <v>405</v>
      </c>
      <c r="G11" s="10">
        <v>4</v>
      </c>
      <c r="H11" s="6">
        <f t="shared" si="1"/>
        <v>409</v>
      </c>
      <c r="I11" s="11">
        <v>194145.69</v>
      </c>
      <c r="J11" s="11">
        <f t="shared" si="2"/>
        <v>196795.69</v>
      </c>
    </row>
    <row r="12" spans="1:10" ht="21" x14ac:dyDescent="0.35">
      <c r="A12" s="19" t="s">
        <v>21</v>
      </c>
      <c r="B12" s="13">
        <v>14179.839999999997</v>
      </c>
      <c r="C12" s="6">
        <v>3057</v>
      </c>
      <c r="D12" s="7">
        <v>5000</v>
      </c>
      <c r="E12" s="8">
        <f t="shared" si="0"/>
        <v>12236.839999999997</v>
      </c>
      <c r="F12" s="16">
        <v>386</v>
      </c>
      <c r="G12" s="10">
        <v>8</v>
      </c>
      <c r="H12" s="6">
        <f t="shared" si="1"/>
        <v>394</v>
      </c>
      <c r="I12" s="11">
        <v>261094</v>
      </c>
      <c r="J12" s="11">
        <f t="shared" si="2"/>
        <v>264151</v>
      </c>
    </row>
    <row r="13" spans="1:10" ht="21" x14ac:dyDescent="0.35">
      <c r="A13" s="12" t="s">
        <v>24</v>
      </c>
      <c r="B13" s="20">
        <v>2921.920000000001</v>
      </c>
      <c r="C13" s="6">
        <v>12279</v>
      </c>
      <c r="D13" s="7">
        <v>4112.25</v>
      </c>
      <c r="E13" s="8">
        <f t="shared" si="0"/>
        <v>11088.670000000002</v>
      </c>
      <c r="F13" s="16">
        <v>214</v>
      </c>
      <c r="G13" s="10">
        <v>22</v>
      </c>
      <c r="H13" s="6">
        <f t="shared" si="1"/>
        <v>236</v>
      </c>
      <c r="I13" s="11">
        <v>148402.70000000001</v>
      </c>
      <c r="J13" s="11">
        <f t="shared" si="2"/>
        <v>160681.70000000001</v>
      </c>
    </row>
    <row r="14" spans="1:10" ht="21" x14ac:dyDescent="0.35">
      <c r="A14" s="12" t="s">
        <v>25</v>
      </c>
      <c r="B14" s="20">
        <v>11860.620000000003</v>
      </c>
      <c r="C14" s="6">
        <v>6447</v>
      </c>
      <c r="D14" s="7">
        <v>15119</v>
      </c>
      <c r="E14" s="8">
        <f t="shared" si="0"/>
        <v>3188.6200000000026</v>
      </c>
      <c r="F14" s="16">
        <v>248</v>
      </c>
      <c r="G14" s="10">
        <v>11</v>
      </c>
      <c r="H14" s="6">
        <f t="shared" si="1"/>
        <v>259</v>
      </c>
      <c r="I14" s="11">
        <v>134056.85999999999</v>
      </c>
      <c r="J14" s="11">
        <f t="shared" si="2"/>
        <v>140503.85999999999</v>
      </c>
    </row>
    <row r="15" spans="1:10" ht="21" x14ac:dyDescent="0.35">
      <c r="A15" s="12" t="s">
        <v>26</v>
      </c>
      <c r="B15" s="20">
        <v>9454.5500000000029</v>
      </c>
      <c r="C15" s="6">
        <v>5520</v>
      </c>
      <c r="D15" s="7">
        <v>10000</v>
      </c>
      <c r="E15" s="8">
        <f t="shared" si="0"/>
        <v>4974.5500000000029</v>
      </c>
      <c r="F15" s="16">
        <v>364</v>
      </c>
      <c r="G15" s="10">
        <v>9</v>
      </c>
      <c r="H15" s="6">
        <f t="shared" si="1"/>
        <v>373</v>
      </c>
      <c r="I15" s="11">
        <v>153626</v>
      </c>
      <c r="J15" s="11">
        <f t="shared" si="2"/>
        <v>159146</v>
      </c>
    </row>
    <row r="16" spans="1:10" ht="21" x14ac:dyDescent="0.35">
      <c r="A16" s="12" t="s">
        <v>28</v>
      </c>
      <c r="B16" s="20">
        <v>20025.04</v>
      </c>
      <c r="C16" s="6">
        <v>3780</v>
      </c>
      <c r="D16" s="7">
        <v>20210</v>
      </c>
      <c r="E16" s="8">
        <f t="shared" si="0"/>
        <v>3595.0400000000009</v>
      </c>
      <c r="F16" s="16">
        <v>446</v>
      </c>
      <c r="G16" s="10">
        <v>10</v>
      </c>
      <c r="H16" s="6">
        <f t="shared" si="1"/>
        <v>456</v>
      </c>
      <c r="I16" s="11">
        <v>204230</v>
      </c>
      <c r="J16" s="11">
        <f t="shared" si="2"/>
        <v>208010</v>
      </c>
    </row>
    <row r="17" spans="1:10" ht="21" x14ac:dyDescent="0.35">
      <c r="A17" s="12" t="s">
        <v>29</v>
      </c>
      <c r="B17" s="20">
        <v>11199.630000000001</v>
      </c>
      <c r="C17" s="6">
        <v>1897</v>
      </c>
      <c r="D17" s="7">
        <v>10000</v>
      </c>
      <c r="E17" s="8">
        <f t="shared" si="0"/>
        <v>3096.630000000001</v>
      </c>
      <c r="F17" s="16">
        <v>220</v>
      </c>
      <c r="G17" s="10">
        <v>4</v>
      </c>
      <c r="H17" s="6">
        <f t="shared" si="1"/>
        <v>224</v>
      </c>
      <c r="I17" s="11">
        <v>149672</v>
      </c>
      <c r="J17" s="11">
        <f t="shared" si="2"/>
        <v>151569</v>
      </c>
    </row>
    <row r="18" spans="1:10" ht="21" x14ac:dyDescent="0.35">
      <c r="A18" s="12" t="s">
        <v>30</v>
      </c>
      <c r="B18" s="20">
        <v>7900.8600000000006</v>
      </c>
      <c r="C18" s="6">
        <v>4500</v>
      </c>
      <c r="D18" s="7">
        <v>12000</v>
      </c>
      <c r="E18" s="8">
        <f t="shared" si="0"/>
        <v>400.86000000000058</v>
      </c>
      <c r="F18" s="16">
        <v>329</v>
      </c>
      <c r="G18" s="10">
        <v>1</v>
      </c>
      <c r="H18" s="6">
        <f t="shared" si="1"/>
        <v>330</v>
      </c>
      <c r="I18" s="11">
        <v>201319</v>
      </c>
      <c r="J18" s="11">
        <f t="shared" si="2"/>
        <v>205819</v>
      </c>
    </row>
    <row r="19" spans="1:10" ht="21" x14ac:dyDescent="0.35">
      <c r="A19" s="12" t="s">
        <v>31</v>
      </c>
      <c r="B19" s="20">
        <v>36413.550000000003</v>
      </c>
      <c r="C19" s="6"/>
      <c r="D19" s="7">
        <v>36020</v>
      </c>
      <c r="E19" s="8">
        <f t="shared" si="0"/>
        <v>393.55000000000291</v>
      </c>
      <c r="F19" s="16">
        <v>379</v>
      </c>
      <c r="G19" s="10"/>
      <c r="H19" s="6">
        <f t="shared" si="1"/>
        <v>379</v>
      </c>
      <c r="I19" s="11">
        <v>208455</v>
      </c>
      <c r="J19" s="11">
        <f t="shared" si="2"/>
        <v>208455</v>
      </c>
    </row>
    <row r="20" spans="1:10" ht="21" x14ac:dyDescent="0.35">
      <c r="A20" s="12" t="s">
        <v>32</v>
      </c>
      <c r="B20" s="20">
        <v>25289.059999999998</v>
      </c>
      <c r="C20" s="6"/>
      <c r="D20" s="7"/>
      <c r="E20" s="8">
        <f t="shared" si="0"/>
        <v>25289.059999999998</v>
      </c>
      <c r="F20" s="16">
        <v>278</v>
      </c>
      <c r="G20" s="10"/>
      <c r="H20" s="6">
        <f t="shared" si="1"/>
        <v>278</v>
      </c>
      <c r="I20" s="11">
        <v>240819</v>
      </c>
      <c r="J20" s="11">
        <f t="shared" si="2"/>
        <v>240819</v>
      </c>
    </row>
    <row r="21" spans="1:10" ht="21" x14ac:dyDescent="0.35">
      <c r="A21" s="12" t="s">
        <v>33</v>
      </c>
      <c r="B21" s="13">
        <v>5775.66</v>
      </c>
      <c r="C21" s="6">
        <v>6275</v>
      </c>
      <c r="D21" s="7">
        <v>12000</v>
      </c>
      <c r="E21" s="8">
        <f t="shared" si="0"/>
        <v>50.659999999999854</v>
      </c>
      <c r="F21" s="16">
        <v>280</v>
      </c>
      <c r="G21" s="10">
        <v>11</v>
      </c>
      <c r="H21" s="6">
        <f t="shared" si="1"/>
        <v>291</v>
      </c>
      <c r="I21" s="11">
        <v>136704</v>
      </c>
      <c r="J21" s="11">
        <f t="shared" si="2"/>
        <v>142979</v>
      </c>
    </row>
    <row r="22" spans="1:10" ht="21" x14ac:dyDescent="0.35">
      <c r="A22" s="12" t="s">
        <v>34</v>
      </c>
      <c r="B22" s="20">
        <v>20111.760000000002</v>
      </c>
      <c r="C22" s="6">
        <v>2791</v>
      </c>
      <c r="D22" s="7">
        <v>20000</v>
      </c>
      <c r="E22" s="8">
        <f t="shared" si="0"/>
        <v>2902.760000000002</v>
      </c>
      <c r="F22" s="16">
        <v>229</v>
      </c>
      <c r="G22" s="10">
        <v>4</v>
      </c>
      <c r="H22" s="6">
        <f t="shared" si="1"/>
        <v>233</v>
      </c>
      <c r="I22" s="11">
        <v>195636</v>
      </c>
      <c r="J22" s="11">
        <f t="shared" si="2"/>
        <v>198427</v>
      </c>
    </row>
    <row r="23" spans="1:10" ht="21" x14ac:dyDescent="0.35">
      <c r="A23" s="12" t="s">
        <v>35</v>
      </c>
      <c r="B23" s="20">
        <v>38813.759999999995</v>
      </c>
      <c r="C23" s="6">
        <v>335</v>
      </c>
      <c r="D23" s="7">
        <v>39000</v>
      </c>
      <c r="E23" s="8">
        <f t="shared" si="0"/>
        <v>148.75999999999476</v>
      </c>
      <c r="F23" s="16">
        <v>521</v>
      </c>
      <c r="G23" s="10">
        <v>1</v>
      </c>
      <c r="H23" s="6">
        <f t="shared" si="1"/>
        <v>522</v>
      </c>
      <c r="I23" s="11">
        <v>239684</v>
      </c>
      <c r="J23" s="11">
        <f t="shared" si="2"/>
        <v>240019</v>
      </c>
    </row>
    <row r="24" spans="1:10" ht="21" x14ac:dyDescent="0.35">
      <c r="A24" s="12" t="s">
        <v>36</v>
      </c>
      <c r="B24" s="22">
        <v>3722.9099999999962</v>
      </c>
      <c r="C24" s="6"/>
      <c r="D24" s="7">
        <v>3000</v>
      </c>
      <c r="E24" s="8">
        <f t="shared" si="0"/>
        <v>722.90999999999622</v>
      </c>
      <c r="F24" s="16">
        <v>367</v>
      </c>
      <c r="G24" s="10"/>
      <c r="H24" s="6">
        <f t="shared" si="1"/>
        <v>367</v>
      </c>
      <c r="I24" s="11">
        <v>224155</v>
      </c>
      <c r="J24" s="11">
        <f t="shared" si="2"/>
        <v>224155</v>
      </c>
    </row>
    <row r="25" spans="1:10" ht="21.75" thickBot="1" x14ac:dyDescent="0.45">
      <c r="A25" s="1"/>
      <c r="B25" s="24">
        <f>SUM(B3:B24)</f>
        <v>284236.24999999994</v>
      </c>
      <c r="C25" s="25">
        <f>SUM(C3:C24)</f>
        <v>283619</v>
      </c>
      <c r="D25" s="26">
        <f>SUM(D3:D24)</f>
        <v>316140.25</v>
      </c>
      <c r="E25" s="8">
        <f>SUM(E3:E24)</f>
        <v>251715.00000000003</v>
      </c>
      <c r="F25" s="1"/>
      <c r="G25" s="1"/>
      <c r="H25" s="1"/>
      <c r="I25" s="27"/>
      <c r="J25" s="27">
        <f>SUM(J3:J24)</f>
        <v>4801121.25</v>
      </c>
    </row>
    <row r="26" spans="1:10" ht="15.75" thickTop="1" x14ac:dyDescent="0.15"/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ACEC-8828-A54C-AD93-2EFD167E3B69}">
  <dimension ref="A1:J26"/>
  <sheetViews>
    <sheetView zoomScaleNormal="100" zoomScaleSheetLayoutView="100" workbookViewId="0"/>
  </sheetViews>
  <sheetFormatPr baseColWidth="10" defaultColWidth="8.7109375" defaultRowHeight="15" x14ac:dyDescent="0.15"/>
  <cols>
    <col min="1" max="1" width="12.85546875" customWidth="1"/>
  </cols>
  <sheetData>
    <row r="1" spans="1:10" ht="21" x14ac:dyDescent="0.15">
      <c r="A1" s="31" t="s">
        <v>43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44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9</v>
      </c>
    </row>
    <row r="3" spans="1:10" ht="21" x14ac:dyDescent="0.35">
      <c r="A3" s="4" t="s">
        <v>10</v>
      </c>
      <c r="B3" s="5">
        <v>40998.429999999993</v>
      </c>
      <c r="C3" s="6"/>
      <c r="D3" s="7">
        <v>37600</v>
      </c>
      <c r="E3" s="8">
        <f t="shared" ref="E3:E24" si="0">B3+C3-D3</f>
        <v>3398.429999999993</v>
      </c>
      <c r="F3" s="9">
        <v>22</v>
      </c>
      <c r="G3" s="10"/>
      <c r="H3" s="6">
        <f t="shared" ref="H3:H24" si="1">F3+G3</f>
        <v>22</v>
      </c>
      <c r="I3" s="11">
        <v>457590</v>
      </c>
      <c r="J3" s="11">
        <f t="shared" ref="J3:J24" si="2">I3+C3</f>
        <v>457590</v>
      </c>
    </row>
    <row r="4" spans="1:10" ht="21" x14ac:dyDescent="0.35">
      <c r="A4" s="12" t="s">
        <v>11</v>
      </c>
      <c r="B4" s="13">
        <v>16101.829999999994</v>
      </c>
      <c r="C4" s="6">
        <v>6294</v>
      </c>
      <c r="D4" s="7">
        <v>7987.79</v>
      </c>
      <c r="E4" s="8">
        <f t="shared" si="0"/>
        <v>14408.039999999994</v>
      </c>
      <c r="F4" s="16">
        <v>103</v>
      </c>
      <c r="G4" s="10">
        <v>28</v>
      </c>
      <c r="H4" s="6">
        <f t="shared" si="1"/>
        <v>131</v>
      </c>
      <c r="I4" s="11">
        <v>134750</v>
      </c>
      <c r="J4" s="11">
        <f t="shared" si="2"/>
        <v>141044</v>
      </c>
    </row>
    <row r="5" spans="1:10" ht="21" x14ac:dyDescent="0.35">
      <c r="A5" s="12" t="s">
        <v>12</v>
      </c>
      <c r="B5" s="13">
        <v>49575.19</v>
      </c>
      <c r="C5" s="6">
        <v>5917</v>
      </c>
      <c r="D5" s="7">
        <v>51000</v>
      </c>
      <c r="E5" s="8">
        <f t="shared" si="0"/>
        <v>4492.1900000000023</v>
      </c>
      <c r="F5" s="16">
        <v>78</v>
      </c>
      <c r="G5" s="10">
        <v>2</v>
      </c>
      <c r="H5" s="6">
        <f t="shared" si="1"/>
        <v>80</v>
      </c>
      <c r="I5" s="11">
        <v>273699</v>
      </c>
      <c r="J5" s="11">
        <f t="shared" si="2"/>
        <v>279616</v>
      </c>
    </row>
    <row r="6" spans="1:10" ht="21" x14ac:dyDescent="0.35">
      <c r="A6" s="12" t="s">
        <v>13</v>
      </c>
      <c r="B6" s="13">
        <v>1780.7200000000012</v>
      </c>
      <c r="C6" s="6">
        <v>10010</v>
      </c>
      <c r="D6" s="7">
        <v>4795</v>
      </c>
      <c r="E6" s="8">
        <f t="shared" si="0"/>
        <v>6995.7200000000012</v>
      </c>
      <c r="F6" s="16">
        <v>339</v>
      </c>
      <c r="G6" s="10">
        <v>20</v>
      </c>
      <c r="H6" s="6">
        <f t="shared" si="1"/>
        <v>359</v>
      </c>
      <c r="I6" s="11">
        <v>150914</v>
      </c>
      <c r="J6" s="11">
        <f t="shared" si="2"/>
        <v>160924</v>
      </c>
    </row>
    <row r="7" spans="1:10" ht="21" x14ac:dyDescent="0.35">
      <c r="A7" s="12" t="s">
        <v>14</v>
      </c>
      <c r="B7" s="13">
        <v>51833.14</v>
      </c>
      <c r="C7" s="6">
        <v>25000</v>
      </c>
      <c r="D7" s="7">
        <v>45544</v>
      </c>
      <c r="E7" s="8">
        <f t="shared" si="0"/>
        <v>31289.14</v>
      </c>
      <c r="F7" s="16">
        <v>77</v>
      </c>
      <c r="G7" s="10">
        <v>1</v>
      </c>
      <c r="H7" s="6">
        <f t="shared" si="1"/>
        <v>78</v>
      </c>
      <c r="I7" s="11">
        <v>458428</v>
      </c>
      <c r="J7" s="11">
        <f t="shared" si="2"/>
        <v>483428</v>
      </c>
    </row>
    <row r="8" spans="1:10" ht="21" x14ac:dyDescent="0.35">
      <c r="A8" s="12" t="s">
        <v>15</v>
      </c>
      <c r="B8" s="13">
        <v>9377.9699999999993</v>
      </c>
      <c r="C8" s="6"/>
      <c r="D8" s="7">
        <v>4102</v>
      </c>
      <c r="E8" s="8">
        <f t="shared" si="0"/>
        <v>5275.9699999999993</v>
      </c>
      <c r="F8" s="16">
        <v>447</v>
      </c>
      <c r="G8" s="10"/>
      <c r="H8" s="6">
        <f t="shared" si="1"/>
        <v>447</v>
      </c>
      <c r="I8" s="11">
        <v>166468</v>
      </c>
      <c r="J8" s="11">
        <f t="shared" si="2"/>
        <v>166468</v>
      </c>
    </row>
    <row r="9" spans="1:10" ht="21" x14ac:dyDescent="0.35">
      <c r="A9" s="12" t="s">
        <v>16</v>
      </c>
      <c r="B9" s="13">
        <v>10363.270000000004</v>
      </c>
      <c r="C9" s="6">
        <v>335</v>
      </c>
      <c r="D9" s="7">
        <v>1925</v>
      </c>
      <c r="E9" s="8">
        <f t="shared" si="0"/>
        <v>8773.2700000000041</v>
      </c>
      <c r="F9" s="16">
        <v>241</v>
      </c>
      <c r="G9" s="10">
        <v>1</v>
      </c>
      <c r="H9" s="6">
        <f t="shared" si="1"/>
        <v>242</v>
      </c>
      <c r="I9" s="11">
        <v>250162</v>
      </c>
      <c r="J9" s="11">
        <f t="shared" si="2"/>
        <v>250497</v>
      </c>
    </row>
    <row r="10" spans="1:10" ht="21" x14ac:dyDescent="0.35">
      <c r="A10" s="12" t="s">
        <v>17</v>
      </c>
      <c r="B10" s="13">
        <v>461.45000000000073</v>
      </c>
      <c r="C10" s="6">
        <v>0</v>
      </c>
      <c r="D10" s="7"/>
      <c r="E10" s="8">
        <f t="shared" si="0"/>
        <v>461.45000000000073</v>
      </c>
      <c r="F10" s="16">
        <v>481</v>
      </c>
      <c r="G10" s="10"/>
      <c r="H10" s="6">
        <f t="shared" si="1"/>
        <v>481</v>
      </c>
      <c r="I10" s="11">
        <v>167580</v>
      </c>
      <c r="J10" s="11">
        <f t="shared" si="2"/>
        <v>167580</v>
      </c>
    </row>
    <row r="11" spans="1:10" ht="21" x14ac:dyDescent="0.35">
      <c r="A11" s="12" t="s">
        <v>19</v>
      </c>
      <c r="B11" s="15">
        <v>3134.09</v>
      </c>
      <c r="C11" s="6">
        <v>0</v>
      </c>
      <c r="D11" s="7"/>
      <c r="E11" s="8">
        <f t="shared" si="0"/>
        <v>3134.09</v>
      </c>
      <c r="F11" s="16">
        <v>409</v>
      </c>
      <c r="G11" s="10"/>
      <c r="H11" s="6">
        <f t="shared" si="1"/>
        <v>409</v>
      </c>
      <c r="I11" s="11">
        <v>196795.69</v>
      </c>
      <c r="J11" s="11">
        <f t="shared" si="2"/>
        <v>196795.69</v>
      </c>
    </row>
    <row r="12" spans="1:10" ht="21" x14ac:dyDescent="0.35">
      <c r="A12" s="19" t="s">
        <v>21</v>
      </c>
      <c r="B12" s="13">
        <v>12236.839999999997</v>
      </c>
      <c r="C12" s="6">
        <v>11693</v>
      </c>
      <c r="D12" s="7">
        <v>14680</v>
      </c>
      <c r="E12" s="8">
        <f t="shared" si="0"/>
        <v>9249.8399999999965</v>
      </c>
      <c r="F12" s="16">
        <v>394</v>
      </c>
      <c r="G12" s="10">
        <v>19</v>
      </c>
      <c r="H12" s="6">
        <f t="shared" si="1"/>
        <v>413</v>
      </c>
      <c r="I12" s="11">
        <v>264151</v>
      </c>
      <c r="J12" s="11">
        <f t="shared" si="2"/>
        <v>275844</v>
      </c>
    </row>
    <row r="13" spans="1:10" ht="21" x14ac:dyDescent="0.35">
      <c r="A13" s="12" t="s">
        <v>24</v>
      </c>
      <c r="B13" s="20">
        <v>11088.670000000002</v>
      </c>
      <c r="C13" s="6">
        <v>400</v>
      </c>
      <c r="D13" s="7">
        <v>6575</v>
      </c>
      <c r="E13" s="8">
        <f t="shared" si="0"/>
        <v>4913.6700000000019</v>
      </c>
      <c r="F13" s="16">
        <v>236</v>
      </c>
      <c r="G13" s="10">
        <v>1</v>
      </c>
      <c r="H13" s="6">
        <f t="shared" si="1"/>
        <v>237</v>
      </c>
      <c r="I13" s="11">
        <v>160681.70000000001</v>
      </c>
      <c r="J13" s="11">
        <f t="shared" si="2"/>
        <v>161081.70000000001</v>
      </c>
    </row>
    <row r="14" spans="1:10" ht="21" x14ac:dyDescent="0.35">
      <c r="A14" s="12" t="s">
        <v>25</v>
      </c>
      <c r="B14" s="20">
        <v>3188.6200000000026</v>
      </c>
      <c r="C14" s="6">
        <v>5485</v>
      </c>
      <c r="D14" s="7"/>
      <c r="E14" s="8">
        <f t="shared" si="0"/>
        <v>8673.6200000000026</v>
      </c>
      <c r="F14" s="16">
        <v>259</v>
      </c>
      <c r="G14" s="10">
        <v>16</v>
      </c>
      <c r="H14" s="6">
        <f t="shared" si="1"/>
        <v>275</v>
      </c>
      <c r="I14" s="11">
        <v>140503.85999999999</v>
      </c>
      <c r="J14" s="11">
        <f t="shared" si="2"/>
        <v>145988.85999999999</v>
      </c>
    </row>
    <row r="15" spans="1:10" ht="21" x14ac:dyDescent="0.35">
      <c r="A15" s="12" t="s">
        <v>26</v>
      </c>
      <c r="B15" s="20">
        <v>4974.5500000000029</v>
      </c>
      <c r="C15" s="6">
        <v>1966</v>
      </c>
      <c r="D15" s="7"/>
      <c r="E15" s="8">
        <f t="shared" si="0"/>
        <v>6940.5500000000029</v>
      </c>
      <c r="F15" s="16">
        <v>373</v>
      </c>
      <c r="G15" s="10">
        <v>2</v>
      </c>
      <c r="H15" s="6">
        <f t="shared" si="1"/>
        <v>375</v>
      </c>
      <c r="I15" s="11">
        <v>159146</v>
      </c>
      <c r="J15" s="11">
        <f t="shared" si="2"/>
        <v>161112</v>
      </c>
    </row>
    <row r="16" spans="1:10" ht="21" x14ac:dyDescent="0.35">
      <c r="A16" s="12" t="s">
        <v>28</v>
      </c>
      <c r="B16" s="20">
        <v>3595.0400000000009</v>
      </c>
      <c r="C16" s="6">
        <v>2650</v>
      </c>
      <c r="D16" s="7"/>
      <c r="E16" s="8">
        <f t="shared" si="0"/>
        <v>6245.0400000000009</v>
      </c>
      <c r="F16" s="16">
        <v>456</v>
      </c>
      <c r="G16" s="10">
        <v>5</v>
      </c>
      <c r="H16" s="6">
        <f t="shared" si="1"/>
        <v>461</v>
      </c>
      <c r="I16" s="11">
        <v>208010</v>
      </c>
      <c r="J16" s="11">
        <f t="shared" si="2"/>
        <v>210660</v>
      </c>
    </row>
    <row r="17" spans="1:10" ht="21" x14ac:dyDescent="0.35">
      <c r="A17" s="12" t="s">
        <v>29</v>
      </c>
      <c r="B17" s="20">
        <v>3096.630000000001</v>
      </c>
      <c r="C17" s="6">
        <v>1057</v>
      </c>
      <c r="D17" s="7"/>
      <c r="E17" s="8">
        <f t="shared" si="0"/>
        <v>4153.630000000001</v>
      </c>
      <c r="F17" s="16">
        <v>224</v>
      </c>
      <c r="G17" s="10">
        <v>1</v>
      </c>
      <c r="H17" s="6">
        <f t="shared" si="1"/>
        <v>225</v>
      </c>
      <c r="I17" s="11">
        <v>151569</v>
      </c>
      <c r="J17" s="11">
        <f t="shared" si="2"/>
        <v>152626</v>
      </c>
    </row>
    <row r="18" spans="1:10" ht="21" x14ac:dyDescent="0.35">
      <c r="A18" s="12" t="s">
        <v>30</v>
      </c>
      <c r="B18" s="20">
        <v>400.86000000000058</v>
      </c>
      <c r="C18" s="6">
        <v>5854</v>
      </c>
      <c r="D18" s="7"/>
      <c r="E18" s="8">
        <f t="shared" si="0"/>
        <v>6254.8600000000006</v>
      </c>
      <c r="F18" s="16">
        <v>330</v>
      </c>
      <c r="G18" s="10">
        <v>15</v>
      </c>
      <c r="H18" s="6">
        <f t="shared" si="1"/>
        <v>345</v>
      </c>
      <c r="I18" s="11">
        <v>205819</v>
      </c>
      <c r="J18" s="11">
        <f t="shared" si="2"/>
        <v>211673</v>
      </c>
    </row>
    <row r="19" spans="1:10" ht="21" x14ac:dyDescent="0.35">
      <c r="A19" s="12" t="s">
        <v>31</v>
      </c>
      <c r="B19" s="20">
        <v>393.55000000000291</v>
      </c>
      <c r="C19" s="6">
        <v>4831</v>
      </c>
      <c r="D19" s="7"/>
      <c r="E19" s="8">
        <f t="shared" si="0"/>
        <v>5224.5500000000029</v>
      </c>
      <c r="F19" s="16">
        <v>379</v>
      </c>
      <c r="G19" s="10">
        <v>8</v>
      </c>
      <c r="H19" s="6">
        <f t="shared" si="1"/>
        <v>387</v>
      </c>
      <c r="I19" s="11">
        <v>208455</v>
      </c>
      <c r="J19" s="11">
        <f t="shared" si="2"/>
        <v>213286</v>
      </c>
    </row>
    <row r="20" spans="1:10" ht="21" x14ac:dyDescent="0.35">
      <c r="A20" s="12" t="s">
        <v>32</v>
      </c>
      <c r="B20" s="20">
        <v>25289.059999999998</v>
      </c>
      <c r="C20" s="6">
        <v>1250</v>
      </c>
      <c r="D20" s="7">
        <v>25000</v>
      </c>
      <c r="E20" s="8">
        <f t="shared" si="0"/>
        <v>1539.0599999999977</v>
      </c>
      <c r="F20" s="16">
        <v>278</v>
      </c>
      <c r="G20" s="10">
        <v>2</v>
      </c>
      <c r="H20" s="6">
        <f t="shared" si="1"/>
        <v>280</v>
      </c>
      <c r="I20" s="11">
        <v>240819</v>
      </c>
      <c r="J20" s="11">
        <f t="shared" si="2"/>
        <v>242069</v>
      </c>
    </row>
    <row r="21" spans="1:10" ht="21" x14ac:dyDescent="0.35">
      <c r="A21" s="12" t="s">
        <v>33</v>
      </c>
      <c r="B21" s="13">
        <v>50.659999999999854</v>
      </c>
      <c r="C21" s="6">
        <v>1115</v>
      </c>
      <c r="D21" s="7"/>
      <c r="E21" s="8">
        <f t="shared" si="0"/>
        <v>1165.6599999999999</v>
      </c>
      <c r="F21" s="16">
        <v>291</v>
      </c>
      <c r="G21" s="10">
        <v>1</v>
      </c>
      <c r="H21" s="6">
        <f t="shared" si="1"/>
        <v>292</v>
      </c>
      <c r="I21" s="11">
        <v>142979</v>
      </c>
      <c r="J21" s="11">
        <f t="shared" si="2"/>
        <v>144094</v>
      </c>
    </row>
    <row r="22" spans="1:10" ht="21" x14ac:dyDescent="0.35">
      <c r="A22" s="12" t="s">
        <v>34</v>
      </c>
      <c r="B22" s="20">
        <v>2902.760000000002</v>
      </c>
      <c r="C22" s="6">
        <v>2102</v>
      </c>
      <c r="D22" s="7"/>
      <c r="E22" s="8">
        <f t="shared" si="0"/>
        <v>5004.760000000002</v>
      </c>
      <c r="F22" s="16">
        <v>233</v>
      </c>
      <c r="G22" s="10">
        <v>3</v>
      </c>
      <c r="H22" s="6">
        <f t="shared" si="1"/>
        <v>236</v>
      </c>
      <c r="I22" s="11">
        <v>198427</v>
      </c>
      <c r="J22" s="11">
        <f t="shared" si="2"/>
        <v>200529</v>
      </c>
    </row>
    <row r="23" spans="1:10" ht="21" x14ac:dyDescent="0.35">
      <c r="A23" s="12" t="s">
        <v>35</v>
      </c>
      <c r="B23" s="20">
        <v>148.75999999999476</v>
      </c>
      <c r="C23" s="6">
        <v>10120</v>
      </c>
      <c r="D23" s="7"/>
      <c r="E23" s="8">
        <f t="shared" si="0"/>
        <v>10268.759999999995</v>
      </c>
      <c r="F23" s="16">
        <v>522</v>
      </c>
      <c r="G23" s="10">
        <v>23</v>
      </c>
      <c r="H23" s="6">
        <f t="shared" si="1"/>
        <v>545</v>
      </c>
      <c r="I23" s="11">
        <v>240019</v>
      </c>
      <c r="J23" s="11">
        <f t="shared" si="2"/>
        <v>250139</v>
      </c>
    </row>
    <row r="24" spans="1:10" ht="21" x14ac:dyDescent="0.35">
      <c r="A24" s="12" t="s">
        <v>36</v>
      </c>
      <c r="B24" s="22">
        <v>722.90999999999622</v>
      </c>
      <c r="C24" s="6">
        <v>4410</v>
      </c>
      <c r="D24" s="7"/>
      <c r="E24" s="8">
        <f t="shared" si="0"/>
        <v>5132.9099999999962</v>
      </c>
      <c r="F24" s="16">
        <v>367</v>
      </c>
      <c r="G24" s="10">
        <v>14</v>
      </c>
      <c r="H24" s="6">
        <f t="shared" si="1"/>
        <v>381</v>
      </c>
      <c r="I24" s="11">
        <v>224155</v>
      </c>
      <c r="J24" s="11">
        <f t="shared" si="2"/>
        <v>228565</v>
      </c>
    </row>
    <row r="25" spans="1:10" ht="21.75" thickBot="1" x14ac:dyDescent="0.45">
      <c r="A25" s="1"/>
      <c r="B25" s="24">
        <f>SUM(B3:B24)</f>
        <v>251715.00000000003</v>
      </c>
      <c r="C25" s="25">
        <f>SUM(C3:C24)</f>
        <v>100489</v>
      </c>
      <c r="D25" s="26">
        <f>SUM(D3:D24)</f>
        <v>199208.79</v>
      </c>
      <c r="E25" s="8">
        <f>SUM(E3:E24)</f>
        <v>152995.21</v>
      </c>
      <c r="F25" s="1"/>
      <c r="G25" s="1"/>
      <c r="H25" s="1"/>
      <c r="I25" s="27"/>
      <c r="J25" s="27">
        <f>SUM(J3:J24)</f>
        <v>4901610.25</v>
      </c>
    </row>
    <row r="26" spans="1:10" ht="15.75" thickTop="1" x14ac:dyDescent="0.15"/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F05A-983E-8943-87EE-8039957A1833}">
  <dimension ref="A1:J26"/>
  <sheetViews>
    <sheetView zoomScaleNormal="100" zoomScaleSheetLayoutView="100" workbookViewId="0"/>
  </sheetViews>
  <sheetFormatPr baseColWidth="10" defaultColWidth="8.7109375" defaultRowHeight="15" x14ac:dyDescent="0.15"/>
  <cols>
    <col min="1" max="1" width="12.85546875" customWidth="1"/>
  </cols>
  <sheetData>
    <row r="1" spans="1:10" ht="21" x14ac:dyDescent="0.15">
      <c r="A1" s="31" t="s">
        <v>44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44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9</v>
      </c>
    </row>
    <row r="3" spans="1:10" ht="21" x14ac:dyDescent="0.35">
      <c r="A3" s="4" t="s">
        <v>10</v>
      </c>
      <c r="B3" s="5">
        <v>3398.429999999993</v>
      </c>
      <c r="C3" s="6"/>
      <c r="D3" s="7"/>
      <c r="E3" s="8">
        <f t="shared" ref="E3:E24" si="0">B3+C3-D3</f>
        <v>3398.429999999993</v>
      </c>
      <c r="F3" s="9">
        <v>22</v>
      </c>
      <c r="G3" s="10"/>
      <c r="H3" s="6">
        <f t="shared" ref="H3:H24" si="1">F3+G3</f>
        <v>22</v>
      </c>
      <c r="I3" s="11">
        <v>457590</v>
      </c>
      <c r="J3" s="11">
        <f t="shared" ref="J3:J24" si="2">I3+C3</f>
        <v>457590</v>
      </c>
    </row>
    <row r="4" spans="1:10" ht="21" x14ac:dyDescent="0.35">
      <c r="A4" s="12" t="s">
        <v>11</v>
      </c>
      <c r="B4" s="13">
        <v>14408.039999999994</v>
      </c>
      <c r="C4" s="6"/>
      <c r="D4" s="7"/>
      <c r="E4" s="8">
        <f t="shared" si="0"/>
        <v>14408.039999999994</v>
      </c>
      <c r="F4" s="16">
        <v>131</v>
      </c>
      <c r="G4" s="10"/>
      <c r="H4" s="6">
        <f t="shared" si="1"/>
        <v>131</v>
      </c>
      <c r="I4" s="11">
        <v>141044</v>
      </c>
      <c r="J4" s="11">
        <f t="shared" si="2"/>
        <v>141044</v>
      </c>
    </row>
    <row r="5" spans="1:10" ht="21" x14ac:dyDescent="0.35">
      <c r="A5" s="12" t="s">
        <v>12</v>
      </c>
      <c r="B5" s="13">
        <v>4492.1900000000023</v>
      </c>
      <c r="C5" s="6"/>
      <c r="D5" s="7"/>
      <c r="E5" s="8">
        <f t="shared" si="0"/>
        <v>4492.1900000000023</v>
      </c>
      <c r="F5" s="16">
        <v>80</v>
      </c>
      <c r="G5" s="10"/>
      <c r="H5" s="6">
        <f t="shared" si="1"/>
        <v>80</v>
      </c>
      <c r="I5" s="11">
        <v>279616</v>
      </c>
      <c r="J5" s="11">
        <f t="shared" si="2"/>
        <v>279616</v>
      </c>
    </row>
    <row r="6" spans="1:10" ht="21" x14ac:dyDescent="0.35">
      <c r="A6" s="12" t="s">
        <v>13</v>
      </c>
      <c r="B6" s="13">
        <v>6995.7200000000012</v>
      </c>
      <c r="C6" s="6"/>
      <c r="D6" s="7"/>
      <c r="E6" s="8">
        <f t="shared" si="0"/>
        <v>6995.7200000000012</v>
      </c>
      <c r="F6" s="16">
        <v>359</v>
      </c>
      <c r="G6" s="10"/>
      <c r="H6" s="6">
        <f t="shared" si="1"/>
        <v>359</v>
      </c>
      <c r="I6" s="11">
        <v>160924</v>
      </c>
      <c r="J6" s="11">
        <f t="shared" si="2"/>
        <v>160924</v>
      </c>
    </row>
    <row r="7" spans="1:10" ht="21" x14ac:dyDescent="0.35">
      <c r="A7" s="12" t="s">
        <v>14</v>
      </c>
      <c r="B7" s="13">
        <v>31289.14</v>
      </c>
      <c r="C7" s="6"/>
      <c r="D7" s="7"/>
      <c r="E7" s="8">
        <f t="shared" si="0"/>
        <v>31289.14</v>
      </c>
      <c r="F7" s="16">
        <v>78</v>
      </c>
      <c r="G7" s="10"/>
      <c r="H7" s="6">
        <f t="shared" si="1"/>
        <v>78</v>
      </c>
      <c r="I7" s="11">
        <v>483428</v>
      </c>
      <c r="J7" s="11">
        <f t="shared" si="2"/>
        <v>483428</v>
      </c>
    </row>
    <row r="8" spans="1:10" ht="21" x14ac:dyDescent="0.35">
      <c r="A8" s="12" t="s">
        <v>15</v>
      </c>
      <c r="B8" s="13">
        <v>5275.9699999999993</v>
      </c>
      <c r="C8" s="6"/>
      <c r="D8" s="7"/>
      <c r="E8" s="8">
        <f t="shared" si="0"/>
        <v>5275.9699999999993</v>
      </c>
      <c r="F8" s="16">
        <v>447</v>
      </c>
      <c r="G8" s="10"/>
      <c r="H8" s="6">
        <f t="shared" si="1"/>
        <v>447</v>
      </c>
      <c r="I8" s="11">
        <v>166468</v>
      </c>
      <c r="J8" s="11">
        <f t="shared" si="2"/>
        <v>166468</v>
      </c>
    </row>
    <row r="9" spans="1:10" ht="21" x14ac:dyDescent="0.35">
      <c r="A9" s="12" t="s">
        <v>16</v>
      </c>
      <c r="B9" s="13">
        <v>10363.270000000004</v>
      </c>
      <c r="C9" s="6"/>
      <c r="D9" s="7"/>
      <c r="E9" s="8">
        <f t="shared" si="0"/>
        <v>10363.270000000004</v>
      </c>
      <c r="F9" s="16">
        <v>241</v>
      </c>
      <c r="G9" s="10"/>
      <c r="H9" s="6">
        <f t="shared" si="1"/>
        <v>241</v>
      </c>
      <c r="I9" s="11">
        <v>250162</v>
      </c>
      <c r="J9" s="11">
        <f t="shared" si="2"/>
        <v>250162</v>
      </c>
    </row>
    <row r="10" spans="1:10" ht="21" x14ac:dyDescent="0.35">
      <c r="A10" s="12" t="s">
        <v>17</v>
      </c>
      <c r="B10" s="13">
        <v>461.45000000000073</v>
      </c>
      <c r="C10" s="6"/>
      <c r="D10" s="7"/>
      <c r="E10" s="8">
        <f t="shared" si="0"/>
        <v>461.45000000000073</v>
      </c>
      <c r="F10" s="16">
        <v>481</v>
      </c>
      <c r="G10" s="10"/>
      <c r="H10" s="6">
        <f t="shared" si="1"/>
        <v>481</v>
      </c>
      <c r="I10" s="11">
        <v>167580</v>
      </c>
      <c r="J10" s="11">
        <f t="shared" si="2"/>
        <v>167580</v>
      </c>
    </row>
    <row r="11" spans="1:10" ht="21" x14ac:dyDescent="0.35">
      <c r="A11" s="12" t="s">
        <v>19</v>
      </c>
      <c r="B11" s="15">
        <v>3134.09</v>
      </c>
      <c r="C11" s="6"/>
      <c r="D11" s="7"/>
      <c r="E11" s="8">
        <f t="shared" si="0"/>
        <v>3134.09</v>
      </c>
      <c r="F11" s="16">
        <v>409</v>
      </c>
      <c r="G11" s="10"/>
      <c r="H11" s="6">
        <f t="shared" si="1"/>
        <v>409</v>
      </c>
      <c r="I11" s="11">
        <v>196795.69</v>
      </c>
      <c r="J11" s="11">
        <f t="shared" si="2"/>
        <v>196795.69</v>
      </c>
    </row>
    <row r="12" spans="1:10" ht="21" x14ac:dyDescent="0.35">
      <c r="A12" s="19" t="s">
        <v>21</v>
      </c>
      <c r="B12" s="13">
        <v>12236.839999999997</v>
      </c>
      <c r="C12" s="6"/>
      <c r="D12" s="7"/>
      <c r="E12" s="8">
        <f t="shared" si="0"/>
        <v>12236.839999999997</v>
      </c>
      <c r="F12" s="16">
        <v>394</v>
      </c>
      <c r="G12" s="10"/>
      <c r="H12" s="6">
        <f t="shared" si="1"/>
        <v>394</v>
      </c>
      <c r="I12" s="11">
        <v>264151</v>
      </c>
      <c r="J12" s="11">
        <f t="shared" si="2"/>
        <v>264151</v>
      </c>
    </row>
    <row r="13" spans="1:10" ht="21" x14ac:dyDescent="0.35">
      <c r="A13" s="12" t="s">
        <v>24</v>
      </c>
      <c r="B13" s="20">
        <v>4913.6700000000019</v>
      </c>
      <c r="C13" s="6">
        <v>5261.75</v>
      </c>
      <c r="D13" s="7">
        <v>9632</v>
      </c>
      <c r="E13" s="8">
        <f t="shared" si="0"/>
        <v>543.42000000000189</v>
      </c>
      <c r="F13" s="16">
        <v>237</v>
      </c>
      <c r="G13" s="10">
        <v>9</v>
      </c>
      <c r="H13" s="6">
        <f t="shared" si="1"/>
        <v>246</v>
      </c>
      <c r="I13" s="11">
        <v>161081.70000000001</v>
      </c>
      <c r="J13" s="11">
        <f t="shared" si="2"/>
        <v>166343.45000000001</v>
      </c>
    </row>
    <row r="14" spans="1:10" ht="21" x14ac:dyDescent="0.35">
      <c r="A14" s="12" t="s">
        <v>25</v>
      </c>
      <c r="B14" s="20">
        <v>8673.6200000000026</v>
      </c>
      <c r="C14" s="6">
        <v>12041.75</v>
      </c>
      <c r="D14" s="7">
        <v>16880</v>
      </c>
      <c r="E14" s="8">
        <f t="shared" si="0"/>
        <v>3835.3700000000026</v>
      </c>
      <c r="F14" s="16">
        <v>275</v>
      </c>
      <c r="G14" s="10">
        <v>21</v>
      </c>
      <c r="H14" s="6">
        <f t="shared" si="1"/>
        <v>296</v>
      </c>
      <c r="I14" s="11">
        <v>145988.85999999999</v>
      </c>
      <c r="J14" s="11">
        <f t="shared" si="2"/>
        <v>158030.60999999999</v>
      </c>
    </row>
    <row r="15" spans="1:10" ht="21" x14ac:dyDescent="0.35">
      <c r="A15" s="12" t="s">
        <v>26</v>
      </c>
      <c r="B15" s="20">
        <v>6940.5500000000029</v>
      </c>
      <c r="C15" s="6">
        <v>2205</v>
      </c>
      <c r="D15" s="7">
        <v>9000</v>
      </c>
      <c r="E15" s="8">
        <f t="shared" si="0"/>
        <v>145.55000000000291</v>
      </c>
      <c r="F15" s="16">
        <v>375</v>
      </c>
      <c r="G15" s="10">
        <v>7</v>
      </c>
      <c r="H15" s="6">
        <f t="shared" si="1"/>
        <v>382</v>
      </c>
      <c r="I15" s="11">
        <v>161112</v>
      </c>
      <c r="J15" s="11">
        <f t="shared" si="2"/>
        <v>163317</v>
      </c>
    </row>
    <row r="16" spans="1:10" ht="21" x14ac:dyDescent="0.35">
      <c r="A16" s="12" t="s">
        <v>28</v>
      </c>
      <c r="B16" s="20">
        <v>6245.0400000000009</v>
      </c>
      <c r="C16" s="6">
        <v>2205</v>
      </c>
      <c r="D16" s="7">
        <v>8010</v>
      </c>
      <c r="E16" s="8">
        <f t="shared" si="0"/>
        <v>440.04000000000087</v>
      </c>
      <c r="F16" s="16">
        <v>461</v>
      </c>
      <c r="G16" s="10">
        <v>7</v>
      </c>
      <c r="H16" s="6">
        <f t="shared" si="1"/>
        <v>468</v>
      </c>
      <c r="I16" s="11">
        <v>210660</v>
      </c>
      <c r="J16" s="11">
        <f t="shared" si="2"/>
        <v>212865</v>
      </c>
    </row>
    <row r="17" spans="1:10" ht="21" x14ac:dyDescent="0.35">
      <c r="A17" s="12" t="s">
        <v>29</v>
      </c>
      <c r="B17" s="20">
        <v>4153.630000000001</v>
      </c>
      <c r="C17" s="6">
        <v>8349</v>
      </c>
      <c r="D17" s="7">
        <v>12000</v>
      </c>
      <c r="E17" s="8">
        <f t="shared" si="0"/>
        <v>502.63000000000102</v>
      </c>
      <c r="F17" s="16">
        <v>225</v>
      </c>
      <c r="G17" s="10">
        <v>7</v>
      </c>
      <c r="H17" s="6">
        <f t="shared" si="1"/>
        <v>232</v>
      </c>
      <c r="I17" s="11">
        <v>152626</v>
      </c>
      <c r="J17" s="11">
        <f t="shared" si="2"/>
        <v>160975</v>
      </c>
    </row>
    <row r="18" spans="1:10" ht="21" x14ac:dyDescent="0.35">
      <c r="A18" s="12" t="s">
        <v>30</v>
      </c>
      <c r="B18" s="20">
        <v>6254.8600000000006</v>
      </c>
      <c r="C18" s="6">
        <v>8247</v>
      </c>
      <c r="D18" s="7">
        <v>12000</v>
      </c>
      <c r="E18" s="8">
        <f t="shared" si="0"/>
        <v>2501.8600000000006</v>
      </c>
      <c r="F18" s="16">
        <v>345</v>
      </c>
      <c r="G18" s="10">
        <v>16</v>
      </c>
      <c r="H18" s="6">
        <f t="shared" si="1"/>
        <v>361</v>
      </c>
      <c r="I18" s="11">
        <v>211673</v>
      </c>
      <c r="J18" s="11">
        <f t="shared" si="2"/>
        <v>219920</v>
      </c>
    </row>
    <row r="19" spans="1:10" ht="21" x14ac:dyDescent="0.35">
      <c r="A19" s="12" t="s">
        <v>31</v>
      </c>
      <c r="B19" s="20">
        <v>5224.5500000000029</v>
      </c>
      <c r="C19" s="6">
        <v>13044</v>
      </c>
      <c r="D19" s="7">
        <v>14010</v>
      </c>
      <c r="E19" s="8">
        <f t="shared" si="0"/>
        <v>4258.5500000000029</v>
      </c>
      <c r="F19" s="16">
        <v>387</v>
      </c>
      <c r="G19" s="10">
        <v>3</v>
      </c>
      <c r="H19" s="6">
        <f t="shared" si="1"/>
        <v>390</v>
      </c>
      <c r="I19" s="11">
        <v>213286</v>
      </c>
      <c r="J19" s="11">
        <f t="shared" si="2"/>
        <v>226330</v>
      </c>
    </row>
    <row r="20" spans="1:10" ht="21" x14ac:dyDescent="0.35">
      <c r="A20" s="12" t="s">
        <v>32</v>
      </c>
      <c r="B20" s="20">
        <v>1539.0599999999977</v>
      </c>
      <c r="C20" s="6">
        <v>2518</v>
      </c>
      <c r="D20" s="7">
        <v>4000</v>
      </c>
      <c r="E20" s="8">
        <f t="shared" si="0"/>
        <v>57.059999999997672</v>
      </c>
      <c r="F20" s="16">
        <v>280</v>
      </c>
      <c r="G20" s="10">
        <v>5</v>
      </c>
      <c r="H20" s="6">
        <f t="shared" si="1"/>
        <v>285</v>
      </c>
      <c r="I20" s="11">
        <v>242069</v>
      </c>
      <c r="J20" s="11">
        <f t="shared" si="2"/>
        <v>244587</v>
      </c>
    </row>
    <row r="21" spans="1:10" ht="21" x14ac:dyDescent="0.35">
      <c r="A21" s="12" t="s">
        <v>33</v>
      </c>
      <c r="B21" s="13">
        <v>1165.6599999999999</v>
      </c>
      <c r="C21" s="6">
        <v>14870</v>
      </c>
      <c r="D21" s="7">
        <v>16000</v>
      </c>
      <c r="E21" s="8">
        <f t="shared" si="0"/>
        <v>35.659999999999854</v>
      </c>
      <c r="F21" s="16">
        <v>292</v>
      </c>
      <c r="G21" s="10">
        <v>31</v>
      </c>
      <c r="H21" s="6">
        <f t="shared" si="1"/>
        <v>323</v>
      </c>
      <c r="I21" s="11">
        <v>144094</v>
      </c>
      <c r="J21" s="11">
        <f t="shared" si="2"/>
        <v>158964</v>
      </c>
    </row>
    <row r="22" spans="1:10" ht="21" x14ac:dyDescent="0.35">
      <c r="A22" s="12" t="s">
        <v>34</v>
      </c>
      <c r="B22" s="20">
        <v>5004.760000000002</v>
      </c>
      <c r="C22" s="6">
        <v>6238</v>
      </c>
      <c r="D22" s="7">
        <v>10000</v>
      </c>
      <c r="E22" s="8">
        <f t="shared" si="0"/>
        <v>1242.760000000002</v>
      </c>
      <c r="F22" s="16">
        <v>236</v>
      </c>
      <c r="G22" s="10">
        <v>5</v>
      </c>
      <c r="H22" s="6">
        <f t="shared" si="1"/>
        <v>241</v>
      </c>
      <c r="I22" s="11">
        <v>200529</v>
      </c>
      <c r="J22" s="11">
        <f t="shared" si="2"/>
        <v>206767</v>
      </c>
    </row>
    <row r="23" spans="1:10" ht="21" x14ac:dyDescent="0.35">
      <c r="A23" s="12" t="s">
        <v>35</v>
      </c>
      <c r="B23" s="20">
        <v>10268.759999999995</v>
      </c>
      <c r="C23" s="6">
        <v>9970</v>
      </c>
      <c r="D23" s="7">
        <v>18010</v>
      </c>
      <c r="E23" s="8">
        <f t="shared" si="0"/>
        <v>2228.7599999999948</v>
      </c>
      <c r="F23" s="16">
        <v>545</v>
      </c>
      <c r="G23" s="10">
        <v>17</v>
      </c>
      <c r="H23" s="6">
        <f t="shared" si="1"/>
        <v>562</v>
      </c>
      <c r="I23" s="11">
        <v>250139</v>
      </c>
      <c r="J23" s="11">
        <f t="shared" si="2"/>
        <v>260109</v>
      </c>
    </row>
    <row r="24" spans="1:10" ht="21" x14ac:dyDescent="0.35">
      <c r="A24" s="12" t="s">
        <v>36</v>
      </c>
      <c r="B24" s="22">
        <v>5132.9099999999962</v>
      </c>
      <c r="C24" s="6"/>
      <c r="D24" s="7">
        <v>5000</v>
      </c>
      <c r="E24" s="8">
        <f t="shared" si="0"/>
        <v>132.90999999999622</v>
      </c>
      <c r="F24" s="16">
        <v>381</v>
      </c>
      <c r="G24" s="10"/>
      <c r="H24" s="6">
        <f t="shared" si="1"/>
        <v>381</v>
      </c>
      <c r="I24" s="11">
        <v>228565</v>
      </c>
      <c r="J24" s="11">
        <f t="shared" si="2"/>
        <v>228565</v>
      </c>
    </row>
    <row r="25" spans="1:10" ht="21.75" thickBot="1" x14ac:dyDescent="0.45">
      <c r="A25" s="1"/>
      <c r="B25" s="24">
        <f>SUM(B3:B24)</f>
        <v>157572.21</v>
      </c>
      <c r="C25" s="25">
        <f>SUM(C3:C24)</f>
        <v>84949.5</v>
      </c>
      <c r="D25" s="26">
        <f>SUM(D3:D24)</f>
        <v>134542</v>
      </c>
      <c r="E25" s="8">
        <f>SUM(E3:E24)</f>
        <v>107979.70999999999</v>
      </c>
      <c r="F25" s="1"/>
      <c r="G25" s="1"/>
      <c r="H25" s="1"/>
      <c r="I25" s="27"/>
      <c r="J25" s="27">
        <f>SUM(J3:J24)</f>
        <v>4974531.75</v>
      </c>
    </row>
    <row r="26" spans="1:10" ht="15.75" thickTop="1" x14ac:dyDescent="0.15"/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ED24-9AFE-F54C-A505-DB45F3AE7DB1}">
  <dimension ref="A1:J26"/>
  <sheetViews>
    <sheetView topLeftCell="C1" zoomScaleNormal="100" zoomScaleSheetLayoutView="100" workbookViewId="0"/>
  </sheetViews>
  <sheetFormatPr baseColWidth="10" defaultColWidth="8.7109375" defaultRowHeight="15" x14ac:dyDescent="0.15"/>
  <cols>
    <col min="1" max="1" width="12.85546875" customWidth="1"/>
  </cols>
  <sheetData>
    <row r="1" spans="1:10" ht="21" x14ac:dyDescent="0.15">
      <c r="A1" s="31" t="s">
        <v>45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44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9</v>
      </c>
    </row>
    <row r="3" spans="1:10" ht="21" x14ac:dyDescent="0.35">
      <c r="A3" s="4" t="s">
        <v>10</v>
      </c>
      <c r="B3" s="5">
        <v>3398.429999999993</v>
      </c>
      <c r="C3" s="6">
        <v>80000</v>
      </c>
      <c r="D3" s="7">
        <v>52000</v>
      </c>
      <c r="E3" s="8">
        <f t="shared" ref="E3:E24" si="0">B3+C3-D3</f>
        <v>31398.429999999993</v>
      </c>
      <c r="F3" s="9">
        <v>22</v>
      </c>
      <c r="G3" s="10">
        <v>1</v>
      </c>
      <c r="H3" s="6">
        <f t="shared" ref="H3:H24" si="1">F3+G3</f>
        <v>23</v>
      </c>
      <c r="I3" s="11">
        <v>457590</v>
      </c>
      <c r="J3" s="11">
        <f t="shared" ref="J3:J24" si="2">I3+C3</f>
        <v>537590</v>
      </c>
    </row>
    <row r="4" spans="1:10" ht="21" x14ac:dyDescent="0.35">
      <c r="A4" s="12" t="s">
        <v>11</v>
      </c>
      <c r="B4" s="13">
        <v>14408.039999999994</v>
      </c>
      <c r="C4" s="6">
        <v>18816</v>
      </c>
      <c r="D4" s="7">
        <v>29285</v>
      </c>
      <c r="E4" s="8">
        <f t="shared" si="0"/>
        <v>3939.0399999999936</v>
      </c>
      <c r="F4" s="16">
        <v>131</v>
      </c>
      <c r="G4" s="10">
        <v>43</v>
      </c>
      <c r="H4" s="6">
        <f t="shared" si="1"/>
        <v>174</v>
      </c>
      <c r="I4" s="11">
        <v>141044</v>
      </c>
      <c r="J4" s="11">
        <f t="shared" si="2"/>
        <v>159860</v>
      </c>
    </row>
    <row r="5" spans="1:10" ht="21" x14ac:dyDescent="0.35">
      <c r="A5" s="12" t="s">
        <v>12</v>
      </c>
      <c r="B5" s="13">
        <v>4492.1900000000023</v>
      </c>
      <c r="C5" s="6">
        <v>9335.7999999999993</v>
      </c>
      <c r="D5" s="7">
        <v>6150</v>
      </c>
      <c r="E5" s="8">
        <f t="shared" si="0"/>
        <v>7677.9900000000016</v>
      </c>
      <c r="F5" s="16">
        <v>80</v>
      </c>
      <c r="G5" s="10">
        <v>5</v>
      </c>
      <c r="H5" s="6">
        <f t="shared" si="1"/>
        <v>85</v>
      </c>
      <c r="I5" s="11">
        <v>279616</v>
      </c>
      <c r="J5" s="11">
        <f t="shared" si="2"/>
        <v>288951.8</v>
      </c>
    </row>
    <row r="6" spans="1:10" ht="21" x14ac:dyDescent="0.35">
      <c r="A6" s="12" t="s">
        <v>13</v>
      </c>
      <c r="B6" s="13">
        <v>6995.7200000000012</v>
      </c>
      <c r="C6" s="6">
        <v>7210</v>
      </c>
      <c r="D6" s="7">
        <v>11225</v>
      </c>
      <c r="E6" s="8">
        <f t="shared" si="0"/>
        <v>2980.7200000000012</v>
      </c>
      <c r="F6" s="16">
        <v>359</v>
      </c>
      <c r="G6" s="10">
        <v>19</v>
      </c>
      <c r="H6" s="6">
        <f t="shared" si="1"/>
        <v>378</v>
      </c>
      <c r="I6" s="11">
        <v>160924</v>
      </c>
      <c r="J6" s="11">
        <f t="shared" si="2"/>
        <v>168134</v>
      </c>
    </row>
    <row r="7" spans="1:10" ht="21" x14ac:dyDescent="0.35">
      <c r="A7" s="12" t="s">
        <v>14</v>
      </c>
      <c r="B7" s="13">
        <v>31289.14</v>
      </c>
      <c r="C7" s="6">
        <v>51275</v>
      </c>
      <c r="D7" s="7">
        <v>62956.42</v>
      </c>
      <c r="E7" s="8">
        <f t="shared" si="0"/>
        <v>19607.72</v>
      </c>
      <c r="F7" s="16">
        <v>78</v>
      </c>
      <c r="G7" s="10">
        <v>8</v>
      </c>
      <c r="H7" s="6">
        <f t="shared" si="1"/>
        <v>86</v>
      </c>
      <c r="I7" s="11">
        <v>483428</v>
      </c>
      <c r="J7" s="11">
        <f t="shared" si="2"/>
        <v>534703</v>
      </c>
    </row>
    <row r="8" spans="1:10" ht="21" x14ac:dyDescent="0.35">
      <c r="A8" s="12" t="s">
        <v>15</v>
      </c>
      <c r="B8" s="13">
        <v>5275.9699999999993</v>
      </c>
      <c r="C8" s="6">
        <v>4230</v>
      </c>
      <c r="D8" s="7">
        <v>4300</v>
      </c>
      <c r="E8" s="8">
        <f t="shared" si="0"/>
        <v>5205.9699999999993</v>
      </c>
      <c r="F8" s="16">
        <v>447</v>
      </c>
      <c r="G8" s="10">
        <v>18</v>
      </c>
      <c r="H8" s="6">
        <f t="shared" si="1"/>
        <v>465</v>
      </c>
      <c r="I8" s="11">
        <v>166468</v>
      </c>
      <c r="J8" s="11">
        <f t="shared" si="2"/>
        <v>170698</v>
      </c>
    </row>
    <row r="9" spans="1:10" ht="21" x14ac:dyDescent="0.35">
      <c r="A9" s="12" t="s">
        <v>16</v>
      </c>
      <c r="B9" s="13">
        <v>10363.270000000004</v>
      </c>
      <c r="C9" s="6">
        <v>33117</v>
      </c>
      <c r="D9" s="7">
        <v>35175</v>
      </c>
      <c r="E9" s="8">
        <f t="shared" si="0"/>
        <v>8305.2700000000041</v>
      </c>
      <c r="F9" s="16">
        <v>241</v>
      </c>
      <c r="G9" s="10">
        <v>35</v>
      </c>
      <c r="H9" s="6">
        <f t="shared" si="1"/>
        <v>276</v>
      </c>
      <c r="I9" s="11">
        <v>250162</v>
      </c>
      <c r="J9" s="11">
        <f t="shared" si="2"/>
        <v>283279</v>
      </c>
    </row>
    <row r="10" spans="1:10" ht="21" x14ac:dyDescent="0.35">
      <c r="A10" s="12" t="s">
        <v>17</v>
      </c>
      <c r="B10" s="13">
        <v>461.45000000000073</v>
      </c>
      <c r="C10" s="6">
        <v>5040</v>
      </c>
      <c r="D10" s="7"/>
      <c r="E10" s="8">
        <f t="shared" si="0"/>
        <v>5501.4500000000007</v>
      </c>
      <c r="F10" s="16">
        <v>481</v>
      </c>
      <c r="G10" s="10">
        <v>16</v>
      </c>
      <c r="H10" s="6">
        <f t="shared" si="1"/>
        <v>497</v>
      </c>
      <c r="I10" s="11">
        <v>167580</v>
      </c>
      <c r="J10" s="11">
        <f t="shared" si="2"/>
        <v>172620</v>
      </c>
    </row>
    <row r="11" spans="1:10" ht="21" x14ac:dyDescent="0.35">
      <c r="A11" s="12" t="s">
        <v>19</v>
      </c>
      <c r="B11" s="15">
        <v>3134.09</v>
      </c>
      <c r="C11" s="6"/>
      <c r="D11" s="7"/>
      <c r="E11" s="8">
        <f t="shared" si="0"/>
        <v>3134.09</v>
      </c>
      <c r="F11" s="16">
        <v>409</v>
      </c>
      <c r="G11" s="10"/>
      <c r="H11" s="6">
        <f t="shared" si="1"/>
        <v>409</v>
      </c>
      <c r="I11" s="11">
        <v>196795.69</v>
      </c>
      <c r="J11" s="11">
        <f t="shared" si="2"/>
        <v>196795.69</v>
      </c>
    </row>
    <row r="12" spans="1:10" ht="21" x14ac:dyDescent="0.35">
      <c r="A12" s="19" t="s">
        <v>21</v>
      </c>
      <c r="B12" s="13">
        <v>12236.839999999997</v>
      </c>
      <c r="C12" s="6">
        <v>11744</v>
      </c>
      <c r="D12" s="7">
        <v>21000</v>
      </c>
      <c r="E12" s="8">
        <f t="shared" si="0"/>
        <v>2980.8399999999965</v>
      </c>
      <c r="F12" s="16">
        <v>394</v>
      </c>
      <c r="G12" s="10">
        <v>14</v>
      </c>
      <c r="H12" s="6">
        <f t="shared" si="1"/>
        <v>408</v>
      </c>
      <c r="I12" s="11">
        <v>264151</v>
      </c>
      <c r="J12" s="11">
        <f t="shared" si="2"/>
        <v>275895</v>
      </c>
    </row>
    <row r="13" spans="1:10" ht="21" x14ac:dyDescent="0.35">
      <c r="A13" s="12" t="s">
        <v>24</v>
      </c>
      <c r="B13" s="20">
        <v>543.42000000000189</v>
      </c>
      <c r="C13" s="6"/>
      <c r="D13" s="7"/>
      <c r="E13" s="8">
        <f t="shared" si="0"/>
        <v>543.42000000000189</v>
      </c>
      <c r="F13" s="16">
        <v>246</v>
      </c>
      <c r="G13" s="10"/>
      <c r="H13" s="6">
        <f t="shared" si="1"/>
        <v>246</v>
      </c>
      <c r="I13" s="11">
        <v>166343.45000000001</v>
      </c>
      <c r="J13" s="11">
        <f t="shared" si="2"/>
        <v>166343.45000000001</v>
      </c>
    </row>
    <row r="14" spans="1:10" ht="21" x14ac:dyDescent="0.35">
      <c r="A14" s="12" t="s">
        <v>25</v>
      </c>
      <c r="B14" s="20">
        <v>3835.3700000000026</v>
      </c>
      <c r="C14" s="6">
        <v>2510</v>
      </c>
      <c r="D14" s="7"/>
      <c r="E14" s="8">
        <f t="shared" si="0"/>
        <v>6345.3700000000026</v>
      </c>
      <c r="F14" s="16">
        <v>296</v>
      </c>
      <c r="G14" s="10">
        <v>2</v>
      </c>
      <c r="H14" s="6">
        <f t="shared" si="1"/>
        <v>298</v>
      </c>
      <c r="I14" s="11">
        <v>158030.60999999999</v>
      </c>
      <c r="J14" s="11">
        <f t="shared" si="2"/>
        <v>160540.60999999999</v>
      </c>
    </row>
    <row r="15" spans="1:10" ht="21" x14ac:dyDescent="0.35">
      <c r="A15" s="12" t="s">
        <v>26</v>
      </c>
      <c r="B15" s="20">
        <v>145.55000000000291</v>
      </c>
      <c r="C15" s="6"/>
      <c r="D15" s="7"/>
      <c r="E15" s="8">
        <f t="shared" si="0"/>
        <v>145.55000000000291</v>
      </c>
      <c r="F15" s="16">
        <v>382</v>
      </c>
      <c r="G15" s="10"/>
      <c r="H15" s="6">
        <f t="shared" si="1"/>
        <v>382</v>
      </c>
      <c r="I15" s="11">
        <v>163317</v>
      </c>
      <c r="J15" s="11">
        <f t="shared" si="2"/>
        <v>163317</v>
      </c>
    </row>
    <row r="16" spans="1:10" ht="21" x14ac:dyDescent="0.35">
      <c r="A16" s="12" t="s">
        <v>28</v>
      </c>
      <c r="B16" s="20">
        <v>440.04000000000087</v>
      </c>
      <c r="C16" s="6"/>
      <c r="D16" s="7"/>
      <c r="E16" s="8">
        <f t="shared" si="0"/>
        <v>440.04000000000087</v>
      </c>
      <c r="F16" s="16">
        <v>468</v>
      </c>
      <c r="G16" s="10"/>
      <c r="H16" s="6">
        <f t="shared" si="1"/>
        <v>468</v>
      </c>
      <c r="I16" s="11">
        <v>212865</v>
      </c>
      <c r="J16" s="11">
        <f t="shared" si="2"/>
        <v>212865</v>
      </c>
    </row>
    <row r="17" spans="1:10" ht="21" x14ac:dyDescent="0.35">
      <c r="A17" s="12" t="s">
        <v>29</v>
      </c>
      <c r="B17" s="20">
        <v>502.63000000000102</v>
      </c>
      <c r="C17" s="6"/>
      <c r="D17" s="7"/>
      <c r="E17" s="8">
        <f t="shared" si="0"/>
        <v>502.63000000000102</v>
      </c>
      <c r="F17" s="16">
        <v>232</v>
      </c>
      <c r="G17" s="10"/>
      <c r="H17" s="6">
        <f t="shared" si="1"/>
        <v>232</v>
      </c>
      <c r="I17" s="11">
        <v>160975</v>
      </c>
      <c r="J17" s="11">
        <f t="shared" si="2"/>
        <v>160975</v>
      </c>
    </row>
    <row r="18" spans="1:10" ht="21" x14ac:dyDescent="0.35">
      <c r="A18" s="12" t="s">
        <v>30</v>
      </c>
      <c r="B18" s="20">
        <v>2501.8600000000006</v>
      </c>
      <c r="C18" s="6">
        <v>1170</v>
      </c>
      <c r="D18" s="7"/>
      <c r="E18" s="8">
        <f t="shared" si="0"/>
        <v>3671.8600000000006</v>
      </c>
      <c r="F18" s="16">
        <v>361</v>
      </c>
      <c r="G18" s="10">
        <v>2</v>
      </c>
      <c r="H18" s="6">
        <f t="shared" si="1"/>
        <v>363</v>
      </c>
      <c r="I18" s="11">
        <v>219920</v>
      </c>
      <c r="J18" s="11">
        <f t="shared" si="2"/>
        <v>221090</v>
      </c>
    </row>
    <row r="19" spans="1:10" ht="21" x14ac:dyDescent="0.35">
      <c r="A19" s="12" t="s">
        <v>31</v>
      </c>
      <c r="B19" s="20">
        <v>4258.5500000000029</v>
      </c>
      <c r="C19" s="6"/>
      <c r="D19" s="7"/>
      <c r="E19" s="8">
        <f t="shared" si="0"/>
        <v>4258.5500000000029</v>
      </c>
      <c r="F19" s="16">
        <v>390</v>
      </c>
      <c r="G19" s="10"/>
      <c r="H19" s="6">
        <f t="shared" si="1"/>
        <v>390</v>
      </c>
      <c r="I19" s="11">
        <v>226330</v>
      </c>
      <c r="J19" s="11">
        <f t="shared" si="2"/>
        <v>226330</v>
      </c>
    </row>
    <row r="20" spans="1:10" ht="21" x14ac:dyDescent="0.35">
      <c r="A20" s="12" t="s">
        <v>32</v>
      </c>
      <c r="B20" s="20">
        <v>57.059999999997672</v>
      </c>
      <c r="C20" s="6">
        <v>500</v>
      </c>
      <c r="D20" s="7"/>
      <c r="E20" s="8">
        <f t="shared" si="0"/>
        <v>557.05999999999767</v>
      </c>
      <c r="F20" s="16">
        <v>285</v>
      </c>
      <c r="G20" s="10">
        <v>1</v>
      </c>
      <c r="H20" s="6">
        <f t="shared" si="1"/>
        <v>286</v>
      </c>
      <c r="I20" s="11">
        <v>244587</v>
      </c>
      <c r="J20" s="11">
        <f t="shared" si="2"/>
        <v>245087</v>
      </c>
    </row>
    <row r="21" spans="1:10" ht="21" x14ac:dyDescent="0.35">
      <c r="A21" s="12" t="s">
        <v>33</v>
      </c>
      <c r="B21" s="13">
        <v>35.659999999999854</v>
      </c>
      <c r="C21" s="6"/>
      <c r="D21" s="7"/>
      <c r="E21" s="8">
        <f t="shared" si="0"/>
        <v>35.659999999999854</v>
      </c>
      <c r="F21" s="16">
        <v>323</v>
      </c>
      <c r="G21" s="10"/>
      <c r="H21" s="6">
        <f t="shared" si="1"/>
        <v>323</v>
      </c>
      <c r="I21" s="11">
        <v>158964</v>
      </c>
      <c r="J21" s="11">
        <f t="shared" si="2"/>
        <v>158964</v>
      </c>
    </row>
    <row r="22" spans="1:10" ht="21" x14ac:dyDescent="0.35">
      <c r="A22" s="12" t="s">
        <v>34</v>
      </c>
      <c r="B22" s="20">
        <v>1242.760000000002</v>
      </c>
      <c r="C22" s="6">
        <v>892</v>
      </c>
      <c r="D22" s="7"/>
      <c r="E22" s="8">
        <f t="shared" si="0"/>
        <v>2134.760000000002</v>
      </c>
      <c r="F22" s="16">
        <v>241</v>
      </c>
      <c r="G22" s="10">
        <v>1</v>
      </c>
      <c r="H22" s="6">
        <f t="shared" si="1"/>
        <v>242</v>
      </c>
      <c r="I22" s="11">
        <v>206767</v>
      </c>
      <c r="J22" s="11">
        <f t="shared" si="2"/>
        <v>207659</v>
      </c>
    </row>
    <row r="23" spans="1:10" ht="21" x14ac:dyDescent="0.35">
      <c r="A23" s="12" t="s">
        <v>35</v>
      </c>
      <c r="B23" s="20">
        <v>2228.7599999999948</v>
      </c>
      <c r="C23" s="6"/>
      <c r="D23" s="7"/>
      <c r="E23" s="8">
        <f t="shared" si="0"/>
        <v>2228.7599999999948</v>
      </c>
      <c r="F23" s="16">
        <v>562</v>
      </c>
      <c r="G23" s="10"/>
      <c r="H23" s="6">
        <f t="shared" si="1"/>
        <v>562</v>
      </c>
      <c r="I23" s="11">
        <v>260109</v>
      </c>
      <c r="J23" s="11">
        <f t="shared" si="2"/>
        <v>260109</v>
      </c>
    </row>
    <row r="24" spans="1:10" ht="21" x14ac:dyDescent="0.35">
      <c r="A24" s="12" t="s">
        <v>36</v>
      </c>
      <c r="B24" s="22">
        <v>132.90999999999622</v>
      </c>
      <c r="C24" s="6"/>
      <c r="D24" s="7"/>
      <c r="E24" s="8">
        <f t="shared" si="0"/>
        <v>132.90999999999622</v>
      </c>
      <c r="F24" s="16">
        <v>381</v>
      </c>
      <c r="G24" s="10"/>
      <c r="H24" s="6">
        <f t="shared" si="1"/>
        <v>381</v>
      </c>
      <c r="I24" s="11">
        <v>228565</v>
      </c>
      <c r="J24" s="11">
        <f t="shared" si="2"/>
        <v>228565</v>
      </c>
    </row>
    <row r="25" spans="1:10" ht="21.75" thickBot="1" x14ac:dyDescent="0.45">
      <c r="A25" s="1"/>
      <c r="B25" s="24">
        <f>SUM(B3:B24)</f>
        <v>107979.70999999999</v>
      </c>
      <c r="C25" s="25">
        <f>SUM(C3:C24)</f>
        <v>225839.8</v>
      </c>
      <c r="D25" s="26">
        <f>SUM(D3:D24)</f>
        <v>222091.41999999998</v>
      </c>
      <c r="E25" s="8">
        <f>SUM(E3:E24)</f>
        <v>111728.09</v>
      </c>
      <c r="F25" s="1"/>
      <c r="G25" s="1"/>
      <c r="H25" s="1"/>
      <c r="I25" s="27"/>
      <c r="J25" s="27">
        <f>SUM(J3:J24)</f>
        <v>5200371.55</v>
      </c>
    </row>
    <row r="26" spans="1:10" ht="15.75" thickTop="1" x14ac:dyDescent="0.15"/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A92C-A10A-C546-A950-A48622E46B11}">
  <dimension ref="A1:J26"/>
  <sheetViews>
    <sheetView zoomScaleNormal="100" zoomScaleSheetLayoutView="100" workbookViewId="0"/>
  </sheetViews>
  <sheetFormatPr baseColWidth="10" defaultColWidth="8.7109375" defaultRowHeight="15" x14ac:dyDescent="0.15"/>
  <cols>
    <col min="1" max="1" width="12.85546875" customWidth="1"/>
    <col min="4" max="4" width="9.28515625" bestFit="1" customWidth="1"/>
  </cols>
  <sheetData>
    <row r="1" spans="1:10" ht="21" x14ac:dyDescent="0.15">
      <c r="A1" s="31" t="s">
        <v>46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44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9</v>
      </c>
    </row>
    <row r="3" spans="1:10" ht="21" x14ac:dyDescent="0.35">
      <c r="A3" s="4" t="s">
        <v>10</v>
      </c>
      <c r="B3" s="5">
        <v>31398.429999999993</v>
      </c>
      <c r="C3" s="6"/>
      <c r="D3" s="7"/>
      <c r="E3" s="8">
        <f t="shared" ref="E3:E24" si="0">B3+C3-D3</f>
        <v>31398.429999999993</v>
      </c>
      <c r="F3" s="9">
        <v>23</v>
      </c>
      <c r="G3" s="10"/>
      <c r="H3" s="6">
        <f t="shared" ref="H3:H24" si="1">F3+G3</f>
        <v>23</v>
      </c>
      <c r="I3" s="11">
        <v>537590</v>
      </c>
      <c r="J3" s="11">
        <f t="shared" ref="J3:J24" si="2">I3+C3</f>
        <v>537590</v>
      </c>
    </row>
    <row r="4" spans="1:10" ht="21" x14ac:dyDescent="0.35">
      <c r="A4" s="12" t="s">
        <v>11</v>
      </c>
      <c r="B4" s="13">
        <v>3939.0399999999936</v>
      </c>
      <c r="C4" s="6"/>
      <c r="D4" s="7"/>
      <c r="E4" s="8">
        <f t="shared" si="0"/>
        <v>3939.0399999999936</v>
      </c>
      <c r="F4" s="16">
        <v>174</v>
      </c>
      <c r="G4" s="10"/>
      <c r="H4" s="6">
        <f t="shared" si="1"/>
        <v>174</v>
      </c>
      <c r="I4" s="11">
        <v>159860</v>
      </c>
      <c r="J4" s="11">
        <f t="shared" si="2"/>
        <v>159860</v>
      </c>
    </row>
    <row r="5" spans="1:10" ht="21" x14ac:dyDescent="0.35">
      <c r="A5" s="12" t="s">
        <v>12</v>
      </c>
      <c r="B5" s="13">
        <v>7677.9900000000016</v>
      </c>
      <c r="C5" s="6"/>
      <c r="D5" s="7"/>
      <c r="E5" s="8">
        <f t="shared" si="0"/>
        <v>7677.9900000000016</v>
      </c>
      <c r="F5" s="16">
        <v>85</v>
      </c>
      <c r="G5" s="10"/>
      <c r="H5" s="6">
        <f t="shared" si="1"/>
        <v>85</v>
      </c>
      <c r="I5" s="11">
        <v>288951.8</v>
      </c>
      <c r="J5" s="11">
        <f t="shared" si="2"/>
        <v>288951.8</v>
      </c>
    </row>
    <row r="6" spans="1:10" ht="21" x14ac:dyDescent="0.35">
      <c r="A6" s="12" t="s">
        <v>13</v>
      </c>
      <c r="B6" s="13">
        <v>2980.7200000000012</v>
      </c>
      <c r="C6" s="6"/>
      <c r="D6" s="7"/>
      <c r="E6" s="8">
        <f t="shared" si="0"/>
        <v>2980.7200000000012</v>
      </c>
      <c r="F6" s="16">
        <v>378</v>
      </c>
      <c r="G6" s="10"/>
      <c r="H6" s="6">
        <f t="shared" si="1"/>
        <v>378</v>
      </c>
      <c r="I6" s="11">
        <v>168134</v>
      </c>
      <c r="J6" s="11">
        <f t="shared" si="2"/>
        <v>168134</v>
      </c>
    </row>
    <row r="7" spans="1:10" ht="21" x14ac:dyDescent="0.35">
      <c r="A7" s="12" t="s">
        <v>14</v>
      </c>
      <c r="B7" s="13">
        <v>19607.72</v>
      </c>
      <c r="C7" s="6"/>
      <c r="D7" s="7"/>
      <c r="E7" s="8">
        <f t="shared" si="0"/>
        <v>19607.72</v>
      </c>
      <c r="F7" s="16">
        <v>86</v>
      </c>
      <c r="G7" s="10"/>
      <c r="H7" s="6">
        <f t="shared" si="1"/>
        <v>86</v>
      </c>
      <c r="I7" s="11">
        <v>534703</v>
      </c>
      <c r="J7" s="11">
        <f t="shared" si="2"/>
        <v>534703</v>
      </c>
    </row>
    <row r="8" spans="1:10" ht="21" x14ac:dyDescent="0.35">
      <c r="A8" s="12" t="s">
        <v>15</v>
      </c>
      <c r="B8" s="13">
        <v>5205.9699999999993</v>
      </c>
      <c r="C8" s="6"/>
      <c r="D8" s="7"/>
      <c r="E8" s="8">
        <f t="shared" si="0"/>
        <v>5205.9699999999993</v>
      </c>
      <c r="F8" s="16">
        <v>465</v>
      </c>
      <c r="G8" s="10"/>
      <c r="H8" s="6">
        <f t="shared" si="1"/>
        <v>465</v>
      </c>
      <c r="I8" s="11">
        <v>170698</v>
      </c>
      <c r="J8" s="11">
        <f t="shared" si="2"/>
        <v>170698</v>
      </c>
    </row>
    <row r="9" spans="1:10" ht="21" x14ac:dyDescent="0.35">
      <c r="A9" s="12" t="s">
        <v>16</v>
      </c>
      <c r="B9" s="13">
        <v>8305.2700000000041</v>
      </c>
      <c r="C9" s="6"/>
      <c r="D9" s="7"/>
      <c r="E9" s="8">
        <f t="shared" si="0"/>
        <v>8305.2700000000041</v>
      </c>
      <c r="F9" s="16">
        <v>276</v>
      </c>
      <c r="G9" s="10"/>
      <c r="H9" s="6">
        <f t="shared" si="1"/>
        <v>276</v>
      </c>
      <c r="I9" s="11">
        <v>283279</v>
      </c>
      <c r="J9" s="11">
        <f t="shared" si="2"/>
        <v>283279</v>
      </c>
    </row>
    <row r="10" spans="1:10" ht="21" x14ac:dyDescent="0.35">
      <c r="A10" s="12" t="s">
        <v>17</v>
      </c>
      <c r="B10" s="13">
        <v>5501.4500000000007</v>
      </c>
      <c r="C10" s="6"/>
      <c r="D10" s="7"/>
      <c r="E10" s="8">
        <f t="shared" si="0"/>
        <v>5501.4500000000007</v>
      </c>
      <c r="F10" s="16">
        <v>497</v>
      </c>
      <c r="G10" s="10"/>
      <c r="H10" s="6">
        <f t="shared" si="1"/>
        <v>497</v>
      </c>
      <c r="I10" s="11">
        <v>172620</v>
      </c>
      <c r="J10" s="11">
        <f t="shared" si="2"/>
        <v>172620</v>
      </c>
    </row>
    <row r="11" spans="1:10" ht="21" x14ac:dyDescent="0.35">
      <c r="A11" s="12" t="s">
        <v>19</v>
      </c>
      <c r="B11" s="15">
        <v>3134.09</v>
      </c>
      <c r="C11" s="6"/>
      <c r="D11" s="7"/>
      <c r="E11" s="8">
        <f t="shared" si="0"/>
        <v>3134.09</v>
      </c>
      <c r="F11" s="16">
        <v>409</v>
      </c>
      <c r="G11" s="10"/>
      <c r="H11" s="6">
        <f t="shared" si="1"/>
        <v>409</v>
      </c>
      <c r="I11" s="11">
        <v>196795.69</v>
      </c>
      <c r="J11" s="11">
        <f t="shared" si="2"/>
        <v>196795.69</v>
      </c>
    </row>
    <row r="12" spans="1:10" ht="21" x14ac:dyDescent="0.35">
      <c r="A12" s="19" t="s">
        <v>21</v>
      </c>
      <c r="B12" s="13">
        <v>2980.8399999999965</v>
      </c>
      <c r="C12" s="6"/>
      <c r="D12" s="29"/>
      <c r="E12" s="8">
        <f t="shared" si="0"/>
        <v>2980.8399999999965</v>
      </c>
      <c r="F12" s="16">
        <v>408</v>
      </c>
      <c r="G12" s="10"/>
      <c r="H12" s="6">
        <f t="shared" si="1"/>
        <v>408</v>
      </c>
      <c r="I12" s="11">
        <v>275895</v>
      </c>
      <c r="J12" s="11">
        <f t="shared" si="2"/>
        <v>275895</v>
      </c>
    </row>
    <row r="13" spans="1:10" ht="21" x14ac:dyDescent="0.35">
      <c r="A13" s="12" t="s">
        <v>24</v>
      </c>
      <c r="B13" s="20">
        <v>543.42000000000189</v>
      </c>
      <c r="C13" s="30">
        <v>18542</v>
      </c>
      <c r="D13" s="7">
        <v>14844</v>
      </c>
      <c r="E13" s="8">
        <f t="shared" si="0"/>
        <v>4241.4200000000019</v>
      </c>
      <c r="F13" s="16">
        <v>246</v>
      </c>
      <c r="G13" s="10">
        <v>28</v>
      </c>
      <c r="H13" s="6">
        <f t="shared" si="1"/>
        <v>274</v>
      </c>
      <c r="I13" s="11">
        <v>166343.45000000001</v>
      </c>
      <c r="J13" s="11">
        <f t="shared" si="2"/>
        <v>184885.45</v>
      </c>
    </row>
    <row r="14" spans="1:10" ht="21" x14ac:dyDescent="0.35">
      <c r="A14" s="12" t="s">
        <v>25</v>
      </c>
      <c r="B14" s="20">
        <v>6345.3700000000026</v>
      </c>
      <c r="C14" s="6">
        <v>17655</v>
      </c>
      <c r="D14" s="7">
        <v>18300.75</v>
      </c>
      <c r="E14" s="8">
        <f t="shared" si="0"/>
        <v>5699.6200000000026</v>
      </c>
      <c r="F14" s="16">
        <v>298</v>
      </c>
      <c r="G14" s="10">
        <v>41</v>
      </c>
      <c r="H14" s="6">
        <f t="shared" si="1"/>
        <v>339</v>
      </c>
      <c r="I14" s="11">
        <v>160540.60999999999</v>
      </c>
      <c r="J14" s="11">
        <f t="shared" si="2"/>
        <v>178195.61</v>
      </c>
    </row>
    <row r="15" spans="1:10" ht="21" x14ac:dyDescent="0.35">
      <c r="A15" s="12" t="s">
        <v>26</v>
      </c>
      <c r="B15" s="20">
        <v>145.55000000000291</v>
      </c>
      <c r="C15" s="6">
        <v>5192</v>
      </c>
      <c r="D15" s="7"/>
      <c r="E15" s="8">
        <f t="shared" si="0"/>
        <v>5337.5500000000029</v>
      </c>
      <c r="F15" s="16">
        <v>382</v>
      </c>
      <c r="G15" s="10">
        <v>8</v>
      </c>
      <c r="H15" s="6">
        <f t="shared" si="1"/>
        <v>390</v>
      </c>
      <c r="I15" s="11">
        <v>163317</v>
      </c>
      <c r="J15" s="11">
        <f t="shared" si="2"/>
        <v>168509</v>
      </c>
    </row>
    <row r="16" spans="1:10" ht="21" x14ac:dyDescent="0.35">
      <c r="A16" s="12" t="s">
        <v>28</v>
      </c>
      <c r="B16" s="20">
        <v>440.04000000000087</v>
      </c>
      <c r="C16" s="6">
        <v>4243</v>
      </c>
      <c r="D16" s="7">
        <v>3010</v>
      </c>
      <c r="E16" s="8">
        <f t="shared" si="0"/>
        <v>1673.0400000000009</v>
      </c>
      <c r="F16" s="16">
        <v>468</v>
      </c>
      <c r="G16" s="10">
        <v>8</v>
      </c>
      <c r="H16" s="6">
        <f t="shared" si="1"/>
        <v>476</v>
      </c>
      <c r="I16" s="11">
        <v>212865</v>
      </c>
      <c r="J16" s="11">
        <f t="shared" si="2"/>
        <v>217108</v>
      </c>
    </row>
    <row r="17" spans="1:10" ht="21" x14ac:dyDescent="0.35">
      <c r="A17" s="12" t="s">
        <v>29</v>
      </c>
      <c r="B17" s="20">
        <v>502.63000000000102</v>
      </c>
      <c r="C17" s="6">
        <v>12211</v>
      </c>
      <c r="D17" s="7">
        <v>9829</v>
      </c>
      <c r="E17" s="8">
        <f t="shared" si="0"/>
        <v>2884.630000000001</v>
      </c>
      <c r="F17" s="16">
        <v>232</v>
      </c>
      <c r="G17" s="10">
        <v>23</v>
      </c>
      <c r="H17" s="6">
        <f t="shared" si="1"/>
        <v>255</v>
      </c>
      <c r="I17" s="11">
        <v>160975</v>
      </c>
      <c r="J17" s="11">
        <f t="shared" si="2"/>
        <v>173186</v>
      </c>
    </row>
    <row r="18" spans="1:10" ht="21" x14ac:dyDescent="0.35">
      <c r="A18" s="12" t="s">
        <v>30</v>
      </c>
      <c r="B18" s="20">
        <v>3671.8600000000006</v>
      </c>
      <c r="C18" s="6">
        <v>8403</v>
      </c>
      <c r="D18" s="7">
        <v>6000</v>
      </c>
      <c r="E18" s="8">
        <f t="shared" si="0"/>
        <v>6074.8600000000006</v>
      </c>
      <c r="F18" s="16">
        <v>363</v>
      </c>
      <c r="G18" s="10">
        <v>17</v>
      </c>
      <c r="H18" s="6">
        <f t="shared" si="1"/>
        <v>380</v>
      </c>
      <c r="I18" s="11">
        <v>221090</v>
      </c>
      <c r="J18" s="11">
        <f t="shared" si="2"/>
        <v>229493</v>
      </c>
    </row>
    <row r="19" spans="1:10" ht="21" x14ac:dyDescent="0.35">
      <c r="A19" s="12" t="s">
        <v>31</v>
      </c>
      <c r="B19" s="20">
        <v>4258.5500000000029</v>
      </c>
      <c r="C19" s="6">
        <v>18172</v>
      </c>
      <c r="D19" s="7">
        <v>14010</v>
      </c>
      <c r="E19" s="8">
        <f t="shared" si="0"/>
        <v>8420.5500000000029</v>
      </c>
      <c r="F19" s="16">
        <v>390</v>
      </c>
      <c r="G19" s="10">
        <v>37</v>
      </c>
      <c r="H19" s="6">
        <f t="shared" si="1"/>
        <v>427</v>
      </c>
      <c r="I19" s="11">
        <v>226330</v>
      </c>
      <c r="J19" s="11">
        <f t="shared" si="2"/>
        <v>244502</v>
      </c>
    </row>
    <row r="20" spans="1:10" ht="21" x14ac:dyDescent="0.35">
      <c r="A20" s="12" t="s">
        <v>32</v>
      </c>
      <c r="B20" s="20">
        <v>557.05999999999767</v>
      </c>
      <c r="C20" s="6">
        <v>5971</v>
      </c>
      <c r="D20" s="7">
        <v>3000</v>
      </c>
      <c r="E20" s="8">
        <f t="shared" si="0"/>
        <v>3528.0599999999977</v>
      </c>
      <c r="F20" s="16">
        <v>286</v>
      </c>
      <c r="G20" s="10">
        <v>11</v>
      </c>
      <c r="H20" s="6">
        <f t="shared" si="1"/>
        <v>297</v>
      </c>
      <c r="I20" s="11">
        <v>245087</v>
      </c>
      <c r="J20" s="11">
        <f t="shared" si="2"/>
        <v>251058</v>
      </c>
    </row>
    <row r="21" spans="1:10" ht="21" x14ac:dyDescent="0.35">
      <c r="A21" s="12" t="s">
        <v>33</v>
      </c>
      <c r="B21" s="13">
        <v>35.659999999999854</v>
      </c>
      <c r="C21" s="6">
        <v>15985</v>
      </c>
      <c r="D21" s="7">
        <v>11000</v>
      </c>
      <c r="E21" s="8">
        <f t="shared" si="0"/>
        <v>5020.66</v>
      </c>
      <c r="F21" s="16">
        <v>323</v>
      </c>
      <c r="G21" s="10">
        <v>31</v>
      </c>
      <c r="H21" s="6">
        <f t="shared" si="1"/>
        <v>354</v>
      </c>
      <c r="I21" s="11">
        <v>158964</v>
      </c>
      <c r="J21" s="11">
        <f t="shared" si="2"/>
        <v>174949</v>
      </c>
    </row>
    <row r="22" spans="1:10" ht="21" x14ac:dyDescent="0.35">
      <c r="A22" s="12" t="s">
        <v>34</v>
      </c>
      <c r="B22" s="20">
        <v>2134.760000000002</v>
      </c>
      <c r="C22" s="6">
        <v>7373</v>
      </c>
      <c r="D22" s="7">
        <v>7000</v>
      </c>
      <c r="E22" s="8">
        <f t="shared" si="0"/>
        <v>2507.760000000002</v>
      </c>
      <c r="F22" s="16">
        <v>242</v>
      </c>
      <c r="G22" s="10">
        <v>11</v>
      </c>
      <c r="H22" s="6">
        <f t="shared" si="1"/>
        <v>253</v>
      </c>
      <c r="I22" s="11">
        <v>207659</v>
      </c>
      <c r="J22" s="11">
        <f t="shared" si="2"/>
        <v>215032</v>
      </c>
    </row>
    <row r="23" spans="1:10" ht="21" x14ac:dyDescent="0.35">
      <c r="A23" s="12" t="s">
        <v>35</v>
      </c>
      <c r="B23" s="20">
        <v>2228.7599999999948</v>
      </c>
      <c r="C23" s="6">
        <v>7750</v>
      </c>
      <c r="D23" s="7">
        <v>4000</v>
      </c>
      <c r="E23" s="8">
        <f t="shared" si="0"/>
        <v>5978.7599999999948</v>
      </c>
      <c r="F23" s="16">
        <v>562</v>
      </c>
      <c r="G23" s="10">
        <v>15</v>
      </c>
      <c r="H23" s="6">
        <f t="shared" si="1"/>
        <v>577</v>
      </c>
      <c r="I23" s="11">
        <v>260109</v>
      </c>
      <c r="J23" s="11">
        <f t="shared" si="2"/>
        <v>267859</v>
      </c>
    </row>
    <row r="24" spans="1:10" ht="21" x14ac:dyDescent="0.35">
      <c r="A24" s="12" t="s">
        <v>36</v>
      </c>
      <c r="B24" s="22">
        <v>132.90999999999622</v>
      </c>
      <c r="C24" s="6">
        <v>5655</v>
      </c>
      <c r="D24" s="7">
        <v>3795</v>
      </c>
      <c r="E24" s="8">
        <f t="shared" si="0"/>
        <v>1992.9099999999962</v>
      </c>
      <c r="F24" s="16">
        <v>381</v>
      </c>
      <c r="G24" s="10">
        <v>24</v>
      </c>
      <c r="H24" s="6">
        <f t="shared" si="1"/>
        <v>405</v>
      </c>
      <c r="I24" s="11">
        <v>228565</v>
      </c>
      <c r="J24" s="11">
        <f t="shared" si="2"/>
        <v>234220</v>
      </c>
    </row>
    <row r="25" spans="1:10" ht="21.75" thickBot="1" x14ac:dyDescent="0.45">
      <c r="A25" s="1"/>
      <c r="B25" s="24">
        <f>SUM(B3:B24)</f>
        <v>111728.09</v>
      </c>
      <c r="C25" s="25">
        <f>SUM(C3:C24)</f>
        <v>127152</v>
      </c>
      <c r="D25" s="26">
        <f>SUM(D3:D24)</f>
        <v>94788.75</v>
      </c>
      <c r="E25" s="8">
        <f>SUM(E3:E24)</f>
        <v>144091.34</v>
      </c>
      <c r="F25" s="1"/>
      <c r="G25" s="1"/>
      <c r="H25" s="1"/>
      <c r="I25" s="27"/>
      <c r="J25" s="27">
        <f>SUM(J3:J24)</f>
        <v>5327523.55</v>
      </c>
    </row>
    <row r="26" spans="1:10" ht="15.75" thickTop="1" x14ac:dyDescent="0.15"/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14BA-4E56-F14E-B890-5A7334524590}">
  <dimension ref="A1:J26"/>
  <sheetViews>
    <sheetView zoomScaleNormal="100" zoomScaleSheetLayoutView="100" workbookViewId="0">
      <selection activeCell="D3" sqref="D3:D12"/>
    </sheetView>
  </sheetViews>
  <sheetFormatPr baseColWidth="10" defaultColWidth="8.7109375" defaultRowHeight="15" x14ac:dyDescent="0.15"/>
  <cols>
    <col min="1" max="1" width="12.85546875" customWidth="1"/>
  </cols>
  <sheetData>
    <row r="1" spans="1:10" ht="21" x14ac:dyDescent="0.15">
      <c r="A1" s="31" t="s">
        <v>47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44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9</v>
      </c>
    </row>
    <row r="3" spans="1:10" ht="21" x14ac:dyDescent="0.35">
      <c r="A3" s="4" t="s">
        <v>10</v>
      </c>
      <c r="B3" s="5">
        <v>31398.429999999993</v>
      </c>
      <c r="C3" s="6"/>
      <c r="D3" s="7">
        <v>31398.43</v>
      </c>
      <c r="E3" s="8">
        <f t="shared" ref="E3:E24" si="0">B3+C3-D3</f>
        <v>0</v>
      </c>
      <c r="F3" s="9">
        <v>23</v>
      </c>
      <c r="G3" s="10"/>
      <c r="H3" s="6">
        <f t="shared" ref="H3:H24" si="1">F3+G3</f>
        <v>23</v>
      </c>
      <c r="I3" s="11">
        <v>537590</v>
      </c>
      <c r="J3" s="11">
        <f t="shared" ref="J3:J24" si="2">I3+C3</f>
        <v>537590</v>
      </c>
    </row>
    <row r="4" spans="1:10" ht="21" x14ac:dyDescent="0.35">
      <c r="A4" s="12" t="s">
        <v>11</v>
      </c>
      <c r="B4" s="13">
        <v>3939.0399999999936</v>
      </c>
      <c r="C4" s="6"/>
      <c r="D4" s="7">
        <v>3939.04</v>
      </c>
      <c r="E4" s="8">
        <f t="shared" si="0"/>
        <v>-6.3664629124104977E-12</v>
      </c>
      <c r="F4" s="16">
        <v>174</v>
      </c>
      <c r="G4" s="10"/>
      <c r="H4" s="6">
        <f t="shared" si="1"/>
        <v>174</v>
      </c>
      <c r="I4" s="11">
        <v>159860</v>
      </c>
      <c r="J4" s="11">
        <f t="shared" si="2"/>
        <v>159860</v>
      </c>
    </row>
    <row r="5" spans="1:10" ht="21" x14ac:dyDescent="0.35">
      <c r="A5" s="12" t="s">
        <v>12</v>
      </c>
      <c r="B5" s="13">
        <v>7677.9900000000016</v>
      </c>
      <c r="C5" s="6"/>
      <c r="D5" s="7">
        <v>7677.99</v>
      </c>
      <c r="E5" s="8">
        <f t="shared" si="0"/>
        <v>0</v>
      </c>
      <c r="F5" s="16">
        <v>85</v>
      </c>
      <c r="G5" s="10"/>
      <c r="H5" s="6">
        <f t="shared" si="1"/>
        <v>85</v>
      </c>
      <c r="I5" s="11">
        <v>288951.8</v>
      </c>
      <c r="J5" s="11">
        <f t="shared" si="2"/>
        <v>288951.8</v>
      </c>
    </row>
    <row r="6" spans="1:10" ht="21" x14ac:dyDescent="0.35">
      <c r="A6" s="12" t="s">
        <v>13</v>
      </c>
      <c r="B6" s="13">
        <v>2980.7200000000012</v>
      </c>
      <c r="C6" s="6"/>
      <c r="D6" s="7">
        <v>2980.72</v>
      </c>
      <c r="E6" s="8">
        <f t="shared" si="0"/>
        <v>0</v>
      </c>
      <c r="F6" s="16">
        <v>378</v>
      </c>
      <c r="G6" s="10"/>
      <c r="H6" s="6">
        <f t="shared" si="1"/>
        <v>378</v>
      </c>
      <c r="I6" s="11">
        <v>168134</v>
      </c>
      <c r="J6" s="11">
        <f t="shared" si="2"/>
        <v>168134</v>
      </c>
    </row>
    <row r="7" spans="1:10" ht="21" x14ac:dyDescent="0.35">
      <c r="A7" s="12" t="s">
        <v>14</v>
      </c>
      <c r="B7" s="13">
        <v>19607.72</v>
      </c>
      <c r="C7" s="6"/>
      <c r="D7" s="7">
        <v>19607.72</v>
      </c>
      <c r="E7" s="8">
        <f t="shared" si="0"/>
        <v>0</v>
      </c>
      <c r="F7" s="16">
        <v>86</v>
      </c>
      <c r="G7" s="10"/>
      <c r="H7" s="6">
        <f t="shared" si="1"/>
        <v>86</v>
      </c>
      <c r="I7" s="11">
        <v>534703</v>
      </c>
      <c r="J7" s="11">
        <f t="shared" si="2"/>
        <v>534703</v>
      </c>
    </row>
    <row r="8" spans="1:10" ht="21" x14ac:dyDescent="0.35">
      <c r="A8" s="12" t="s">
        <v>15</v>
      </c>
      <c r="B8" s="13">
        <v>5205.9699999999993</v>
      </c>
      <c r="C8" s="6"/>
      <c r="D8" s="7">
        <v>5205.97</v>
      </c>
      <c r="E8" s="8">
        <f t="shared" si="0"/>
        <v>0</v>
      </c>
      <c r="F8" s="16">
        <v>465</v>
      </c>
      <c r="G8" s="10"/>
      <c r="H8" s="6">
        <f t="shared" si="1"/>
        <v>465</v>
      </c>
      <c r="I8" s="11">
        <v>170698</v>
      </c>
      <c r="J8" s="11">
        <f t="shared" si="2"/>
        <v>170698</v>
      </c>
    </row>
    <row r="9" spans="1:10" ht="21" x14ac:dyDescent="0.35">
      <c r="A9" s="12" t="s">
        <v>16</v>
      </c>
      <c r="B9" s="13">
        <v>8305.2700000000041</v>
      </c>
      <c r="C9" s="6"/>
      <c r="D9" s="7">
        <v>8305.27</v>
      </c>
      <c r="E9" s="8">
        <f t="shared" si="0"/>
        <v>0</v>
      </c>
      <c r="F9" s="16">
        <v>276</v>
      </c>
      <c r="G9" s="10"/>
      <c r="H9" s="6">
        <f t="shared" si="1"/>
        <v>276</v>
      </c>
      <c r="I9" s="11">
        <v>283279</v>
      </c>
      <c r="J9" s="11">
        <f t="shared" si="2"/>
        <v>283279</v>
      </c>
    </row>
    <row r="10" spans="1:10" ht="21" x14ac:dyDescent="0.35">
      <c r="A10" s="12" t="s">
        <v>17</v>
      </c>
      <c r="B10" s="13">
        <v>5501.4500000000007</v>
      </c>
      <c r="C10" s="6"/>
      <c r="D10" s="7">
        <v>5501.45</v>
      </c>
      <c r="E10" s="8">
        <f t="shared" si="0"/>
        <v>0</v>
      </c>
      <c r="F10" s="16">
        <v>497</v>
      </c>
      <c r="G10" s="10"/>
      <c r="H10" s="6">
        <f t="shared" si="1"/>
        <v>497</v>
      </c>
      <c r="I10" s="11">
        <v>172620</v>
      </c>
      <c r="J10" s="11">
        <f t="shared" si="2"/>
        <v>172620</v>
      </c>
    </row>
    <row r="11" spans="1:10" ht="21" x14ac:dyDescent="0.35">
      <c r="A11" s="12" t="s">
        <v>19</v>
      </c>
      <c r="B11" s="15">
        <v>3134.09</v>
      </c>
      <c r="C11" s="6"/>
      <c r="D11" s="7">
        <v>3134.09</v>
      </c>
      <c r="E11" s="8">
        <f t="shared" si="0"/>
        <v>0</v>
      </c>
      <c r="F11" s="16">
        <v>409</v>
      </c>
      <c r="G11" s="10"/>
      <c r="H11" s="6">
        <f t="shared" si="1"/>
        <v>409</v>
      </c>
      <c r="I11" s="11">
        <v>196795.69</v>
      </c>
      <c r="J11" s="11">
        <f t="shared" si="2"/>
        <v>196795.69</v>
      </c>
    </row>
    <row r="12" spans="1:10" ht="21" x14ac:dyDescent="0.35">
      <c r="A12" s="19" t="s">
        <v>21</v>
      </c>
      <c r="B12" s="13">
        <v>2980.8399999999965</v>
      </c>
      <c r="C12" s="6"/>
      <c r="D12" s="29">
        <v>2980.84</v>
      </c>
      <c r="E12" s="8">
        <f t="shared" si="0"/>
        <v>-3.637978807091713E-12</v>
      </c>
      <c r="F12" s="16">
        <v>408</v>
      </c>
      <c r="G12" s="10"/>
      <c r="H12" s="6">
        <f t="shared" si="1"/>
        <v>408</v>
      </c>
      <c r="I12" s="11">
        <v>275895</v>
      </c>
      <c r="J12" s="11">
        <f t="shared" si="2"/>
        <v>275895</v>
      </c>
    </row>
    <row r="13" spans="1:10" ht="21" x14ac:dyDescent="0.35">
      <c r="A13" s="12" t="s">
        <v>24</v>
      </c>
      <c r="B13" s="20">
        <v>4241.4200000000019</v>
      </c>
      <c r="C13" s="30">
        <v>9800</v>
      </c>
      <c r="D13" s="7">
        <v>145</v>
      </c>
      <c r="E13" s="8">
        <f t="shared" si="0"/>
        <v>13896.420000000002</v>
      </c>
      <c r="F13" s="16">
        <v>274</v>
      </c>
      <c r="G13" s="10">
        <v>17</v>
      </c>
      <c r="H13" s="6">
        <f t="shared" si="1"/>
        <v>291</v>
      </c>
      <c r="I13" s="11">
        <v>184885.45</v>
      </c>
      <c r="J13" s="11">
        <f t="shared" si="2"/>
        <v>194685.45</v>
      </c>
    </row>
    <row r="14" spans="1:10" ht="21" x14ac:dyDescent="0.35">
      <c r="A14" s="12" t="s">
        <v>25</v>
      </c>
      <c r="B14" s="20">
        <v>5699.6200000000026</v>
      </c>
      <c r="C14" s="6">
        <v>8014</v>
      </c>
      <c r="D14" s="7">
        <v>8000</v>
      </c>
      <c r="E14" s="8">
        <f t="shared" si="0"/>
        <v>5713.6200000000026</v>
      </c>
      <c r="F14" s="16">
        <v>339</v>
      </c>
      <c r="G14" s="10">
        <v>13</v>
      </c>
      <c r="H14" s="6">
        <f t="shared" si="1"/>
        <v>352</v>
      </c>
      <c r="I14" s="11">
        <v>178195.61</v>
      </c>
      <c r="J14" s="11">
        <f t="shared" si="2"/>
        <v>186209.61</v>
      </c>
    </row>
    <row r="15" spans="1:10" ht="21" x14ac:dyDescent="0.35">
      <c r="A15" s="12" t="s">
        <v>26</v>
      </c>
      <c r="B15" s="20">
        <v>5337.5500000000029</v>
      </c>
      <c r="C15" s="6"/>
      <c r="D15" s="7"/>
      <c r="E15" s="8">
        <f t="shared" si="0"/>
        <v>5337.5500000000029</v>
      </c>
      <c r="F15" s="16">
        <v>390</v>
      </c>
      <c r="G15" s="10"/>
      <c r="H15" s="6">
        <f t="shared" si="1"/>
        <v>390</v>
      </c>
      <c r="I15" s="11">
        <v>168509</v>
      </c>
      <c r="J15" s="11">
        <f t="shared" si="2"/>
        <v>168509</v>
      </c>
    </row>
    <row r="16" spans="1:10" ht="21" x14ac:dyDescent="0.35">
      <c r="A16" s="12" t="s">
        <v>28</v>
      </c>
      <c r="B16" s="20">
        <v>1673.0400000000009</v>
      </c>
      <c r="C16" s="6">
        <v>4296</v>
      </c>
      <c r="D16" s="7"/>
      <c r="E16" s="8">
        <f t="shared" si="0"/>
        <v>5969.0400000000009</v>
      </c>
      <c r="F16" s="16">
        <v>476</v>
      </c>
      <c r="G16" s="10">
        <v>3</v>
      </c>
      <c r="H16" s="6">
        <f t="shared" si="1"/>
        <v>479</v>
      </c>
      <c r="I16" s="11">
        <v>217108</v>
      </c>
      <c r="J16" s="11">
        <f t="shared" si="2"/>
        <v>221404</v>
      </c>
    </row>
    <row r="17" spans="1:10" ht="21" x14ac:dyDescent="0.35">
      <c r="A17" s="12" t="s">
        <v>29</v>
      </c>
      <c r="B17" s="20">
        <v>2884.630000000001</v>
      </c>
      <c r="C17" s="6">
        <v>12933</v>
      </c>
      <c r="D17" s="7"/>
      <c r="E17" s="8">
        <f t="shared" si="0"/>
        <v>15817.630000000001</v>
      </c>
      <c r="F17" s="16">
        <v>255</v>
      </c>
      <c r="G17" s="10">
        <v>25</v>
      </c>
      <c r="H17" s="6">
        <f t="shared" si="1"/>
        <v>280</v>
      </c>
      <c r="I17" s="11">
        <v>173186</v>
      </c>
      <c r="J17" s="11">
        <f t="shared" si="2"/>
        <v>186119</v>
      </c>
    </row>
    <row r="18" spans="1:10" ht="21" x14ac:dyDescent="0.35">
      <c r="A18" s="12" t="s">
        <v>30</v>
      </c>
      <c r="B18" s="20">
        <v>6074.8600000000006</v>
      </c>
      <c r="C18" s="6">
        <v>4995</v>
      </c>
      <c r="D18" s="7">
        <v>5000</v>
      </c>
      <c r="E18" s="8">
        <f t="shared" si="0"/>
        <v>6069.8600000000006</v>
      </c>
      <c r="F18" s="16">
        <v>380</v>
      </c>
      <c r="G18" s="10">
        <v>9</v>
      </c>
      <c r="H18" s="6">
        <f t="shared" si="1"/>
        <v>389</v>
      </c>
      <c r="I18" s="11">
        <v>229493</v>
      </c>
      <c r="J18" s="11">
        <f t="shared" si="2"/>
        <v>234488</v>
      </c>
    </row>
    <row r="19" spans="1:10" ht="21" x14ac:dyDescent="0.35">
      <c r="A19" s="12" t="s">
        <v>31</v>
      </c>
      <c r="B19" s="20">
        <v>8420.5500000000029</v>
      </c>
      <c r="C19" s="6">
        <v>2964</v>
      </c>
      <c r="D19" s="7">
        <v>10000</v>
      </c>
      <c r="E19" s="8">
        <f t="shared" si="0"/>
        <v>1384.5500000000029</v>
      </c>
      <c r="F19" s="16">
        <v>427</v>
      </c>
      <c r="G19" s="10">
        <v>5</v>
      </c>
      <c r="H19" s="6">
        <f t="shared" si="1"/>
        <v>432</v>
      </c>
      <c r="I19" s="11">
        <v>244502</v>
      </c>
      <c r="J19" s="11">
        <f t="shared" si="2"/>
        <v>247466</v>
      </c>
    </row>
    <row r="20" spans="1:10" ht="21" x14ac:dyDescent="0.35">
      <c r="A20" s="12" t="s">
        <v>32</v>
      </c>
      <c r="B20" s="20">
        <v>3528.0599999999977</v>
      </c>
      <c r="C20" s="6">
        <v>4505</v>
      </c>
      <c r="D20" s="7"/>
      <c r="E20" s="8">
        <f t="shared" si="0"/>
        <v>8033.0599999999977</v>
      </c>
      <c r="F20" s="16">
        <v>297</v>
      </c>
      <c r="G20" s="10">
        <v>5</v>
      </c>
      <c r="H20" s="6">
        <f t="shared" si="1"/>
        <v>302</v>
      </c>
      <c r="I20" s="11">
        <v>251058</v>
      </c>
      <c r="J20" s="11">
        <f t="shared" si="2"/>
        <v>255563</v>
      </c>
    </row>
    <row r="21" spans="1:10" ht="21" x14ac:dyDescent="0.35">
      <c r="A21" s="12" t="s">
        <v>33</v>
      </c>
      <c r="B21" s="13">
        <v>5020.66</v>
      </c>
      <c r="C21" s="6">
        <v>9380</v>
      </c>
      <c r="D21" s="7">
        <v>8000</v>
      </c>
      <c r="E21" s="8">
        <f t="shared" si="0"/>
        <v>6400.66</v>
      </c>
      <c r="F21" s="16">
        <v>354</v>
      </c>
      <c r="G21" s="10">
        <v>22</v>
      </c>
      <c r="H21" s="6">
        <f t="shared" si="1"/>
        <v>376</v>
      </c>
      <c r="I21" s="11">
        <v>174949</v>
      </c>
      <c r="J21" s="11">
        <f t="shared" si="2"/>
        <v>184329</v>
      </c>
    </row>
    <row r="22" spans="1:10" ht="21" x14ac:dyDescent="0.35">
      <c r="A22" s="12" t="s">
        <v>34</v>
      </c>
      <c r="B22" s="20">
        <v>2507.760000000002</v>
      </c>
      <c r="C22" s="6">
        <v>12699</v>
      </c>
      <c r="D22" s="7">
        <v>5000</v>
      </c>
      <c r="E22" s="8">
        <f t="shared" si="0"/>
        <v>10206.760000000002</v>
      </c>
      <c r="F22" s="16">
        <v>253</v>
      </c>
      <c r="G22" s="10">
        <v>24</v>
      </c>
      <c r="H22" s="6">
        <f t="shared" si="1"/>
        <v>277</v>
      </c>
      <c r="I22" s="11">
        <v>215032</v>
      </c>
      <c r="J22" s="11">
        <f t="shared" si="2"/>
        <v>227731</v>
      </c>
    </row>
    <row r="23" spans="1:10" ht="21" x14ac:dyDescent="0.35">
      <c r="A23" s="12" t="s">
        <v>35</v>
      </c>
      <c r="B23" s="20">
        <v>5978.7599999999948</v>
      </c>
      <c r="C23" s="6">
        <v>5630</v>
      </c>
      <c r="D23" s="7">
        <v>5000</v>
      </c>
      <c r="E23" s="8">
        <f t="shared" si="0"/>
        <v>6608.7599999999948</v>
      </c>
      <c r="F23" s="16">
        <v>577</v>
      </c>
      <c r="G23" s="10">
        <v>12</v>
      </c>
      <c r="H23" s="6">
        <f t="shared" si="1"/>
        <v>589</v>
      </c>
      <c r="I23" s="11">
        <v>267859</v>
      </c>
      <c r="J23" s="11">
        <f t="shared" si="2"/>
        <v>273489</v>
      </c>
    </row>
    <row r="24" spans="1:10" ht="21" x14ac:dyDescent="0.35">
      <c r="A24" s="12" t="s">
        <v>36</v>
      </c>
      <c r="B24" s="22">
        <v>1992.9099999999962</v>
      </c>
      <c r="C24" s="6">
        <v>41315</v>
      </c>
      <c r="D24" s="7">
        <v>42000</v>
      </c>
      <c r="E24" s="8">
        <f t="shared" si="0"/>
        <v>1307.9099999999962</v>
      </c>
      <c r="F24" s="16">
        <v>405</v>
      </c>
      <c r="G24" s="10">
        <v>7</v>
      </c>
      <c r="H24" s="6">
        <f t="shared" si="1"/>
        <v>412</v>
      </c>
      <c r="I24" s="11">
        <v>234220</v>
      </c>
      <c r="J24" s="11">
        <f t="shared" si="2"/>
        <v>275535</v>
      </c>
    </row>
    <row r="25" spans="1:10" ht="21.75" thickBot="1" x14ac:dyDescent="0.45">
      <c r="A25" s="1"/>
      <c r="B25" s="24">
        <f>SUM(B3:B24)</f>
        <v>144091.34</v>
      </c>
      <c r="C25" s="25">
        <f>SUM(C3:C24)</f>
        <v>116531</v>
      </c>
      <c r="D25" s="26">
        <f>SUM(D3:D24)</f>
        <v>173876.52</v>
      </c>
      <c r="E25" s="8">
        <f>SUM(E3:E24)</f>
        <v>86745.819999999978</v>
      </c>
      <c r="F25" s="1"/>
      <c r="G25" s="1"/>
      <c r="H25" s="1"/>
      <c r="I25" s="27"/>
      <c r="J25" s="27">
        <f>SUM(J3:J24)</f>
        <v>5444054.5499999998</v>
      </c>
    </row>
    <row r="26" spans="1:10" ht="15.75" thickTop="1" x14ac:dyDescent="0.15"/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A585-36C2-7442-A838-1A4CE4E1012B}">
  <dimension ref="A1:J26"/>
  <sheetViews>
    <sheetView topLeftCell="K1" zoomScaleNormal="100" zoomScaleSheetLayoutView="100" workbookViewId="0">
      <selection activeCell="C11" sqref="C11"/>
    </sheetView>
  </sheetViews>
  <sheetFormatPr baseColWidth="10" defaultColWidth="8.7109375" defaultRowHeight="15" x14ac:dyDescent="0.15"/>
  <cols>
    <col min="1" max="1" width="12.85546875" customWidth="1"/>
    <col min="4" max="4" width="9.28515625" bestFit="1" customWidth="1"/>
  </cols>
  <sheetData>
    <row r="1" spans="1:10" ht="21" x14ac:dyDescent="0.15">
      <c r="A1" s="31" t="s">
        <v>48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44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9</v>
      </c>
    </row>
    <row r="3" spans="1:10" ht="21" x14ac:dyDescent="0.35">
      <c r="A3" s="4" t="s">
        <v>10</v>
      </c>
      <c r="B3" s="7">
        <v>31398.43</v>
      </c>
      <c r="C3" s="6">
        <v>168365</v>
      </c>
      <c r="D3" s="7">
        <v>158287.67000000001</v>
      </c>
      <c r="E3" s="8">
        <f t="shared" ref="E3:E24" si="0">B3+C3-D3</f>
        <v>41475.75999999998</v>
      </c>
      <c r="F3" s="9">
        <v>23</v>
      </c>
      <c r="G3" s="10">
        <v>8</v>
      </c>
      <c r="H3" s="6">
        <f t="shared" ref="H3:H24" si="1">F3+G3</f>
        <v>31</v>
      </c>
      <c r="I3" s="11">
        <v>537590</v>
      </c>
      <c r="J3" s="11">
        <f t="shared" ref="J3:J24" si="2">I3+C3</f>
        <v>705955</v>
      </c>
    </row>
    <row r="4" spans="1:10" ht="21" x14ac:dyDescent="0.35">
      <c r="A4" s="12" t="s">
        <v>11</v>
      </c>
      <c r="B4" s="7">
        <v>3939.04</v>
      </c>
      <c r="C4" s="6">
        <v>39436.94</v>
      </c>
      <c r="D4" s="7">
        <v>35940</v>
      </c>
      <c r="E4" s="8">
        <f t="shared" si="0"/>
        <v>7435.9800000000032</v>
      </c>
      <c r="F4" s="16">
        <v>174</v>
      </c>
      <c r="G4" s="10">
        <v>169</v>
      </c>
      <c r="H4" s="6">
        <f t="shared" si="1"/>
        <v>343</v>
      </c>
      <c r="I4" s="11">
        <v>159860</v>
      </c>
      <c r="J4" s="11">
        <f t="shared" si="2"/>
        <v>199296.94</v>
      </c>
    </row>
    <row r="5" spans="1:10" ht="21" x14ac:dyDescent="0.35">
      <c r="A5" s="12" t="s">
        <v>12</v>
      </c>
      <c r="B5" s="7">
        <v>7677.99</v>
      </c>
      <c r="C5" s="6">
        <v>285354.2</v>
      </c>
      <c r="D5" s="7">
        <v>240535.55</v>
      </c>
      <c r="E5" s="8">
        <f t="shared" si="0"/>
        <v>52496.640000000014</v>
      </c>
      <c r="F5" s="16">
        <v>85</v>
      </c>
      <c r="G5" s="10">
        <v>118</v>
      </c>
      <c r="H5" s="6">
        <f t="shared" si="1"/>
        <v>203</v>
      </c>
      <c r="I5" s="11">
        <v>288951.8</v>
      </c>
      <c r="J5" s="11">
        <f t="shared" si="2"/>
        <v>574306</v>
      </c>
    </row>
    <row r="6" spans="1:10" ht="21" x14ac:dyDescent="0.35">
      <c r="A6" s="12" t="s">
        <v>13</v>
      </c>
      <c r="B6" s="7">
        <v>2980.72</v>
      </c>
      <c r="C6" s="6">
        <v>42980</v>
      </c>
      <c r="D6" s="7">
        <v>44521</v>
      </c>
      <c r="E6" s="8">
        <f t="shared" si="0"/>
        <v>1439.7200000000012</v>
      </c>
      <c r="F6" s="16">
        <v>378</v>
      </c>
      <c r="G6" s="10">
        <v>108</v>
      </c>
      <c r="H6" s="6">
        <f t="shared" si="1"/>
        <v>486</v>
      </c>
      <c r="I6" s="11">
        <v>168134</v>
      </c>
      <c r="J6" s="11">
        <f t="shared" si="2"/>
        <v>211114</v>
      </c>
    </row>
    <row r="7" spans="1:10" ht="21" x14ac:dyDescent="0.35">
      <c r="A7" s="12" t="s">
        <v>14</v>
      </c>
      <c r="B7" s="7">
        <v>19607.72</v>
      </c>
      <c r="C7" s="6">
        <v>100000</v>
      </c>
      <c r="D7" s="7">
        <v>119116</v>
      </c>
      <c r="E7" s="8">
        <f t="shared" si="0"/>
        <v>491.72000000000116</v>
      </c>
      <c r="F7" s="16">
        <v>86</v>
      </c>
      <c r="G7" s="10">
        <v>13</v>
      </c>
      <c r="H7" s="6">
        <f t="shared" si="1"/>
        <v>99</v>
      </c>
      <c r="I7" s="11">
        <v>534703</v>
      </c>
      <c r="J7" s="11">
        <f t="shared" si="2"/>
        <v>634703</v>
      </c>
    </row>
    <row r="8" spans="1:10" ht="21" x14ac:dyDescent="0.35">
      <c r="A8" s="12" t="s">
        <v>15</v>
      </c>
      <c r="B8" s="7">
        <v>5205.97</v>
      </c>
      <c r="C8" s="6">
        <v>25955</v>
      </c>
      <c r="D8" s="7">
        <v>29669.84</v>
      </c>
      <c r="E8" s="8">
        <f t="shared" si="0"/>
        <v>1491.130000000001</v>
      </c>
      <c r="F8" s="16">
        <v>465</v>
      </c>
      <c r="G8" s="10">
        <v>54</v>
      </c>
      <c r="H8" s="6">
        <f t="shared" si="1"/>
        <v>519</v>
      </c>
      <c r="I8" s="11">
        <v>170698</v>
      </c>
      <c r="J8" s="11">
        <f t="shared" si="2"/>
        <v>196653</v>
      </c>
    </row>
    <row r="9" spans="1:10" ht="21" x14ac:dyDescent="0.35">
      <c r="A9" s="12" t="s">
        <v>16</v>
      </c>
      <c r="B9" s="7">
        <v>8305.27</v>
      </c>
      <c r="C9" s="6">
        <v>54281</v>
      </c>
      <c r="D9" s="7">
        <v>58988.36</v>
      </c>
      <c r="E9" s="8">
        <f t="shared" si="0"/>
        <v>3597.9100000000035</v>
      </c>
      <c r="F9" s="16">
        <v>276</v>
      </c>
      <c r="G9" s="10">
        <v>67</v>
      </c>
      <c r="H9" s="6">
        <f t="shared" si="1"/>
        <v>343</v>
      </c>
      <c r="I9" s="11">
        <v>283279</v>
      </c>
      <c r="J9" s="11">
        <f t="shared" si="2"/>
        <v>337560</v>
      </c>
    </row>
    <row r="10" spans="1:10" ht="21" x14ac:dyDescent="0.35">
      <c r="A10" s="12" t="s">
        <v>17</v>
      </c>
      <c r="B10" s="7">
        <v>5501.45</v>
      </c>
      <c r="C10" s="6">
        <v>13545</v>
      </c>
      <c r="D10" s="7">
        <v>18155</v>
      </c>
      <c r="E10" s="8">
        <f t="shared" si="0"/>
        <v>891.45000000000073</v>
      </c>
      <c r="F10" s="16">
        <v>497</v>
      </c>
      <c r="G10" s="10">
        <v>44</v>
      </c>
      <c r="H10" s="6">
        <f t="shared" si="1"/>
        <v>541</v>
      </c>
      <c r="I10" s="11">
        <v>172620</v>
      </c>
      <c r="J10" s="11">
        <f t="shared" si="2"/>
        <v>186165</v>
      </c>
    </row>
    <row r="11" spans="1:10" ht="21" x14ac:dyDescent="0.35">
      <c r="A11" s="12" t="s">
        <v>19</v>
      </c>
      <c r="B11" s="7">
        <v>3134.09</v>
      </c>
      <c r="C11" s="6">
        <v>11970</v>
      </c>
      <c r="D11" s="7">
        <v>11535</v>
      </c>
      <c r="E11" s="8">
        <f t="shared" si="0"/>
        <v>3569.09</v>
      </c>
      <c r="F11" s="16">
        <v>409</v>
      </c>
      <c r="G11" s="10">
        <v>38</v>
      </c>
      <c r="H11" s="6">
        <f t="shared" si="1"/>
        <v>447</v>
      </c>
      <c r="I11" s="11">
        <v>196795.69</v>
      </c>
      <c r="J11" s="11">
        <f t="shared" si="2"/>
        <v>208765.69</v>
      </c>
    </row>
    <row r="12" spans="1:10" ht="21" x14ac:dyDescent="0.35">
      <c r="A12" s="19" t="s">
        <v>21</v>
      </c>
      <c r="B12" s="29">
        <v>2980.84</v>
      </c>
      <c r="C12" s="6">
        <v>48206</v>
      </c>
      <c r="D12" s="7">
        <v>44379.54</v>
      </c>
      <c r="E12" s="8">
        <f t="shared" si="0"/>
        <v>6807.2999999999956</v>
      </c>
      <c r="F12" s="16">
        <v>408</v>
      </c>
      <c r="G12" s="10">
        <v>55</v>
      </c>
      <c r="H12" s="6">
        <f t="shared" si="1"/>
        <v>463</v>
      </c>
      <c r="I12" s="11">
        <v>275895</v>
      </c>
      <c r="J12" s="11">
        <f t="shared" si="2"/>
        <v>324101</v>
      </c>
    </row>
    <row r="13" spans="1:10" ht="21" x14ac:dyDescent="0.35">
      <c r="A13" s="12" t="s">
        <v>24</v>
      </c>
      <c r="B13" s="20">
        <v>13896.420000000002</v>
      </c>
      <c r="C13" s="30">
        <v>13523</v>
      </c>
      <c r="D13" s="7">
        <v>23186.3</v>
      </c>
      <c r="E13" s="8">
        <f t="shared" si="0"/>
        <v>4233.1200000000026</v>
      </c>
      <c r="F13" s="16">
        <v>291</v>
      </c>
      <c r="G13" s="10">
        <v>23</v>
      </c>
      <c r="H13" s="6">
        <f t="shared" si="1"/>
        <v>314</v>
      </c>
      <c r="I13" s="11">
        <v>194685.45</v>
      </c>
      <c r="J13" s="11">
        <f t="shared" si="2"/>
        <v>208208.45</v>
      </c>
    </row>
    <row r="14" spans="1:10" ht="21" x14ac:dyDescent="0.35">
      <c r="A14" s="12" t="s">
        <v>25</v>
      </c>
      <c r="B14" s="20">
        <v>5713.6200000000026</v>
      </c>
      <c r="C14" s="6">
        <v>9096</v>
      </c>
      <c r="D14" s="7">
        <v>9424</v>
      </c>
      <c r="E14" s="8">
        <f t="shared" si="0"/>
        <v>5385.6200000000026</v>
      </c>
      <c r="F14" s="16">
        <v>352</v>
      </c>
      <c r="G14" s="10">
        <v>28</v>
      </c>
      <c r="H14" s="6">
        <f t="shared" si="1"/>
        <v>380</v>
      </c>
      <c r="I14" s="11">
        <v>186209.61</v>
      </c>
      <c r="J14" s="11">
        <f t="shared" si="2"/>
        <v>195305.61</v>
      </c>
    </row>
    <row r="15" spans="1:10" ht="21" x14ac:dyDescent="0.35">
      <c r="A15" s="12" t="s">
        <v>26</v>
      </c>
      <c r="B15" s="20">
        <v>5337.5500000000029</v>
      </c>
      <c r="C15" s="6">
        <v>1966</v>
      </c>
      <c r="D15" s="7">
        <v>4026.25</v>
      </c>
      <c r="E15" s="8">
        <f t="shared" si="0"/>
        <v>3277.3000000000029</v>
      </c>
      <c r="F15" s="16">
        <v>390</v>
      </c>
      <c r="G15" s="10">
        <v>2</v>
      </c>
      <c r="H15" s="6">
        <f t="shared" si="1"/>
        <v>392</v>
      </c>
      <c r="I15" s="11">
        <v>168509</v>
      </c>
      <c r="J15" s="11">
        <f t="shared" si="2"/>
        <v>170475</v>
      </c>
    </row>
    <row r="16" spans="1:10" ht="21" x14ac:dyDescent="0.35">
      <c r="A16" s="12" t="s">
        <v>28</v>
      </c>
      <c r="B16" s="20">
        <v>5969.0400000000009</v>
      </c>
      <c r="C16" s="6">
        <v>5018</v>
      </c>
      <c r="D16" s="7">
        <v>5010</v>
      </c>
      <c r="E16" s="8">
        <f t="shared" si="0"/>
        <v>5977.0400000000009</v>
      </c>
      <c r="F16" s="16">
        <v>479</v>
      </c>
      <c r="G16" s="10">
        <v>4</v>
      </c>
      <c r="H16" s="6">
        <f t="shared" si="1"/>
        <v>483</v>
      </c>
      <c r="I16" s="11">
        <v>221404</v>
      </c>
      <c r="J16" s="11">
        <f t="shared" si="2"/>
        <v>226422</v>
      </c>
    </row>
    <row r="17" spans="1:10" ht="21" x14ac:dyDescent="0.35">
      <c r="A17" s="12" t="s">
        <v>29</v>
      </c>
      <c r="B17" s="20">
        <v>15817.630000000001</v>
      </c>
      <c r="C17" s="6">
        <v>12211</v>
      </c>
      <c r="D17" s="7">
        <v>15000</v>
      </c>
      <c r="E17" s="8">
        <f t="shared" si="0"/>
        <v>13028.630000000001</v>
      </c>
      <c r="F17" s="16">
        <v>280</v>
      </c>
      <c r="G17" s="10">
        <v>23</v>
      </c>
      <c r="H17" s="6">
        <f t="shared" si="1"/>
        <v>303</v>
      </c>
      <c r="I17" s="11">
        <v>186119</v>
      </c>
      <c r="J17" s="11">
        <f t="shared" si="2"/>
        <v>198330</v>
      </c>
    </row>
    <row r="18" spans="1:10" ht="21" x14ac:dyDescent="0.35">
      <c r="A18" s="12" t="s">
        <v>30</v>
      </c>
      <c r="B18" s="20">
        <v>6069.8600000000006</v>
      </c>
      <c r="C18" s="6">
        <v>10119</v>
      </c>
      <c r="D18" s="7">
        <v>9000</v>
      </c>
      <c r="E18" s="8">
        <f t="shared" si="0"/>
        <v>7188.8600000000006</v>
      </c>
      <c r="F18" s="16">
        <v>389</v>
      </c>
      <c r="G18" s="10">
        <v>10</v>
      </c>
      <c r="H18" s="6">
        <f t="shared" si="1"/>
        <v>399</v>
      </c>
      <c r="I18" s="11">
        <v>234488</v>
      </c>
      <c r="J18" s="11">
        <f t="shared" si="2"/>
        <v>244607</v>
      </c>
    </row>
    <row r="19" spans="1:10" ht="21" x14ac:dyDescent="0.35">
      <c r="A19" s="12" t="s">
        <v>31</v>
      </c>
      <c r="B19" s="20">
        <v>1384.5500000000029</v>
      </c>
      <c r="C19" s="6">
        <v>8780</v>
      </c>
      <c r="D19" s="7">
        <v>9000</v>
      </c>
      <c r="E19" s="8">
        <f t="shared" si="0"/>
        <v>1164.5500000000029</v>
      </c>
      <c r="F19" s="16">
        <v>432</v>
      </c>
      <c r="G19" s="10">
        <v>17</v>
      </c>
      <c r="H19" s="6">
        <f t="shared" si="1"/>
        <v>449</v>
      </c>
      <c r="I19" s="11">
        <v>247466</v>
      </c>
      <c r="J19" s="11">
        <f t="shared" si="2"/>
        <v>256246</v>
      </c>
    </row>
    <row r="20" spans="1:10" ht="21" x14ac:dyDescent="0.35">
      <c r="A20" s="12" t="s">
        <v>32</v>
      </c>
      <c r="B20" s="20">
        <v>8033.0599999999977</v>
      </c>
      <c r="C20" s="6">
        <v>7205</v>
      </c>
      <c r="D20" s="7">
        <v>12000</v>
      </c>
      <c r="E20" s="8">
        <f t="shared" si="0"/>
        <v>3238.0599999999977</v>
      </c>
      <c r="F20" s="16">
        <v>302</v>
      </c>
      <c r="G20" s="10">
        <v>18</v>
      </c>
      <c r="H20" s="6">
        <f t="shared" si="1"/>
        <v>320</v>
      </c>
      <c r="I20" s="11">
        <v>255563</v>
      </c>
      <c r="J20" s="11">
        <f t="shared" si="2"/>
        <v>262768</v>
      </c>
    </row>
    <row r="21" spans="1:10" ht="21" x14ac:dyDescent="0.35">
      <c r="A21" s="12" t="s">
        <v>33</v>
      </c>
      <c r="B21" s="13">
        <v>6400.66</v>
      </c>
      <c r="C21" s="6">
        <v>15565</v>
      </c>
      <c r="D21" s="7">
        <v>11000</v>
      </c>
      <c r="E21" s="8">
        <f t="shared" si="0"/>
        <v>10965.66</v>
      </c>
      <c r="F21" s="16">
        <v>376</v>
      </c>
      <c r="G21" s="10">
        <v>27</v>
      </c>
      <c r="H21" s="6">
        <f t="shared" si="1"/>
        <v>403</v>
      </c>
      <c r="I21" s="11">
        <v>184329</v>
      </c>
      <c r="J21" s="11">
        <f t="shared" si="2"/>
        <v>199894</v>
      </c>
    </row>
    <row r="22" spans="1:10" ht="21" x14ac:dyDescent="0.35">
      <c r="A22" s="12" t="s">
        <v>34</v>
      </c>
      <c r="B22" s="20">
        <v>10206.760000000002</v>
      </c>
      <c r="C22" s="6">
        <v>12107</v>
      </c>
      <c r="D22" s="7">
        <v>10000</v>
      </c>
      <c r="E22" s="8">
        <f t="shared" si="0"/>
        <v>12313.760000000002</v>
      </c>
      <c r="F22" s="16">
        <v>277</v>
      </c>
      <c r="G22" s="10">
        <v>27</v>
      </c>
      <c r="H22" s="6">
        <f t="shared" si="1"/>
        <v>304</v>
      </c>
      <c r="I22" s="11">
        <v>227731</v>
      </c>
      <c r="J22" s="11">
        <f t="shared" si="2"/>
        <v>239838</v>
      </c>
    </row>
    <row r="23" spans="1:10" ht="21" x14ac:dyDescent="0.35">
      <c r="A23" s="12" t="s">
        <v>35</v>
      </c>
      <c r="B23" s="20">
        <v>6608.7599999999948</v>
      </c>
      <c r="C23" s="6">
        <v>5695</v>
      </c>
      <c r="D23" s="7">
        <v>10000</v>
      </c>
      <c r="E23" s="8">
        <f t="shared" si="0"/>
        <v>2303.7599999999948</v>
      </c>
      <c r="F23" s="16">
        <v>589</v>
      </c>
      <c r="G23" s="10">
        <v>5</v>
      </c>
      <c r="H23" s="6">
        <f t="shared" si="1"/>
        <v>594</v>
      </c>
      <c r="I23" s="11">
        <v>273489</v>
      </c>
      <c r="J23" s="11">
        <f t="shared" si="2"/>
        <v>279184</v>
      </c>
    </row>
    <row r="24" spans="1:10" ht="21" x14ac:dyDescent="0.35">
      <c r="A24" s="12" t="s">
        <v>36</v>
      </c>
      <c r="B24" s="22">
        <v>1307.9099999999962</v>
      </c>
      <c r="C24" s="6">
        <v>3150</v>
      </c>
      <c r="D24" s="7">
        <v>4000</v>
      </c>
      <c r="E24" s="8">
        <f t="shared" si="0"/>
        <v>457.90999999999622</v>
      </c>
      <c r="F24" s="16">
        <v>412</v>
      </c>
      <c r="G24" s="10">
        <v>10</v>
      </c>
      <c r="H24" s="6">
        <f t="shared" si="1"/>
        <v>422</v>
      </c>
      <c r="I24" s="11">
        <v>275535</v>
      </c>
      <c r="J24" s="11">
        <f t="shared" si="2"/>
        <v>278685</v>
      </c>
    </row>
    <row r="25" spans="1:10" ht="21.75" thickBot="1" x14ac:dyDescent="0.45">
      <c r="A25" s="1"/>
      <c r="B25" s="24">
        <f>SUM(B3:B24)</f>
        <v>177477.34</v>
      </c>
      <c r="C25" s="25">
        <f>SUM(C3:C24)</f>
        <v>894528.14</v>
      </c>
      <c r="D25" s="26">
        <f>SUM(D3:D24)</f>
        <v>882774.51</v>
      </c>
      <c r="E25" s="8">
        <f>SUM(E3:E24)</f>
        <v>189230.97</v>
      </c>
      <c r="F25" s="1"/>
      <c r="G25" s="1"/>
      <c r="H25" s="1"/>
      <c r="I25" s="27"/>
      <c r="J25" s="27">
        <f>SUM(J3:J24)</f>
        <v>6338582.6899999995</v>
      </c>
    </row>
    <row r="26" spans="1:10" ht="15.75" thickTop="1" x14ac:dyDescent="0.15"/>
  </sheetData>
  <mergeCells count="1">
    <mergeCell ref="A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3FEA-8892-4543-AFFE-A3B4A247FC25}">
  <dimension ref="A1:J26"/>
  <sheetViews>
    <sheetView tabSelected="1" zoomScaleNormal="100" zoomScaleSheetLayoutView="100" workbookViewId="0">
      <selection activeCell="L5" sqref="L5"/>
    </sheetView>
  </sheetViews>
  <sheetFormatPr baseColWidth="10" defaultColWidth="8.7109375" defaultRowHeight="15" x14ac:dyDescent="0.15"/>
  <cols>
    <col min="1" max="1" width="12.85546875" customWidth="1"/>
  </cols>
  <sheetData>
    <row r="1" spans="1:10" ht="21" x14ac:dyDescent="0.15">
      <c r="A1" s="31" t="s">
        <v>49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44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9</v>
      </c>
    </row>
    <row r="3" spans="1:10" ht="21" x14ac:dyDescent="0.35">
      <c r="A3" s="4" t="s">
        <v>10</v>
      </c>
      <c r="B3" s="7">
        <v>41475.75999999998</v>
      </c>
      <c r="C3" s="6"/>
      <c r="D3" s="7">
        <v>450</v>
      </c>
      <c r="E3" s="8">
        <f t="shared" ref="E3:E24" si="0">B3+C3-D3</f>
        <v>41025.75999999998</v>
      </c>
      <c r="F3" s="9">
        <v>31</v>
      </c>
      <c r="G3" s="10"/>
      <c r="H3" s="6">
        <f t="shared" ref="H3:H24" si="1">F3+G3</f>
        <v>31</v>
      </c>
      <c r="I3" s="11">
        <v>705955</v>
      </c>
      <c r="J3" s="11">
        <f t="shared" ref="J3:J24" si="2">I3+C3</f>
        <v>705955</v>
      </c>
    </row>
    <row r="4" spans="1:10" ht="21" x14ac:dyDescent="0.35">
      <c r="A4" s="12" t="s">
        <v>11</v>
      </c>
      <c r="B4" s="7">
        <v>7435.9800000000032</v>
      </c>
      <c r="C4" s="6">
        <v>890</v>
      </c>
      <c r="D4" s="7">
        <v>1000</v>
      </c>
      <c r="E4" s="8">
        <f t="shared" si="0"/>
        <v>7325.9800000000032</v>
      </c>
      <c r="F4" s="16">
        <v>343</v>
      </c>
      <c r="G4" s="10">
        <v>7</v>
      </c>
      <c r="H4" s="6">
        <f t="shared" si="1"/>
        <v>350</v>
      </c>
      <c r="I4" s="11">
        <v>199296.94</v>
      </c>
      <c r="J4" s="11">
        <f t="shared" si="2"/>
        <v>200186.94</v>
      </c>
    </row>
    <row r="5" spans="1:10" ht="21" x14ac:dyDescent="0.35">
      <c r="A5" s="12" t="s">
        <v>12</v>
      </c>
      <c r="B5" s="7">
        <v>52496.640000000014</v>
      </c>
      <c r="C5" s="6"/>
      <c r="D5" s="7">
        <v>27000</v>
      </c>
      <c r="E5" s="8">
        <f t="shared" si="0"/>
        <v>25496.640000000014</v>
      </c>
      <c r="F5" s="16">
        <v>203</v>
      </c>
      <c r="G5" s="10"/>
      <c r="H5" s="6">
        <f t="shared" si="1"/>
        <v>203</v>
      </c>
      <c r="I5" s="11">
        <v>574306</v>
      </c>
      <c r="J5" s="11">
        <f t="shared" si="2"/>
        <v>574306</v>
      </c>
    </row>
    <row r="6" spans="1:10" ht="21" x14ac:dyDescent="0.35">
      <c r="A6" s="12" t="s">
        <v>13</v>
      </c>
      <c r="B6" s="7">
        <v>1439.7200000000012</v>
      </c>
      <c r="C6" s="6">
        <v>8190</v>
      </c>
      <c r="D6" s="7">
        <v>1995</v>
      </c>
      <c r="E6" s="8">
        <f t="shared" si="0"/>
        <v>7634.7200000000012</v>
      </c>
      <c r="F6" s="16">
        <v>486</v>
      </c>
      <c r="G6" s="10">
        <v>17</v>
      </c>
      <c r="H6" s="6">
        <f t="shared" si="1"/>
        <v>503</v>
      </c>
      <c r="I6" s="11">
        <v>211114</v>
      </c>
      <c r="J6" s="11">
        <f t="shared" si="2"/>
        <v>219304</v>
      </c>
    </row>
    <row r="7" spans="1:10" ht="21" x14ac:dyDescent="0.35">
      <c r="A7" s="12" t="s">
        <v>14</v>
      </c>
      <c r="B7" s="7">
        <v>491.72000000000116</v>
      </c>
      <c r="C7" s="6"/>
      <c r="D7" s="7"/>
      <c r="E7" s="8">
        <f t="shared" si="0"/>
        <v>491.72000000000116</v>
      </c>
      <c r="F7" s="16">
        <v>99</v>
      </c>
      <c r="G7" s="10"/>
      <c r="H7" s="6">
        <f t="shared" si="1"/>
        <v>99</v>
      </c>
      <c r="I7" s="11">
        <v>634703</v>
      </c>
      <c r="J7" s="11">
        <f t="shared" si="2"/>
        <v>634703</v>
      </c>
    </row>
    <row r="8" spans="1:10" ht="21" x14ac:dyDescent="0.35">
      <c r="A8" s="12" t="s">
        <v>15</v>
      </c>
      <c r="B8" s="7">
        <v>1491.130000000001</v>
      </c>
      <c r="C8" s="6"/>
      <c r="D8" s="7">
        <v>1100</v>
      </c>
      <c r="E8" s="8">
        <f t="shared" si="0"/>
        <v>391.13000000000102</v>
      </c>
      <c r="F8" s="16">
        <v>519</v>
      </c>
      <c r="G8" s="10"/>
      <c r="H8" s="6">
        <f t="shared" si="1"/>
        <v>519</v>
      </c>
      <c r="I8" s="11">
        <v>196653</v>
      </c>
      <c r="J8" s="11">
        <f t="shared" si="2"/>
        <v>196653</v>
      </c>
    </row>
    <row r="9" spans="1:10" ht="21" x14ac:dyDescent="0.35">
      <c r="A9" s="12" t="s">
        <v>16</v>
      </c>
      <c r="B9" s="7">
        <v>3597.9100000000035</v>
      </c>
      <c r="C9" s="6">
        <v>447</v>
      </c>
      <c r="D9" s="7"/>
      <c r="E9" s="8">
        <f t="shared" si="0"/>
        <v>4044.9100000000035</v>
      </c>
      <c r="F9" s="16">
        <v>343</v>
      </c>
      <c r="G9" s="10">
        <v>1</v>
      </c>
      <c r="H9" s="6">
        <f t="shared" si="1"/>
        <v>344</v>
      </c>
      <c r="I9" s="11">
        <v>337560</v>
      </c>
      <c r="J9" s="11">
        <f t="shared" si="2"/>
        <v>338007</v>
      </c>
    </row>
    <row r="10" spans="1:10" ht="21" x14ac:dyDescent="0.35">
      <c r="A10" s="12" t="s">
        <v>17</v>
      </c>
      <c r="B10" s="7">
        <v>891.45000000000073</v>
      </c>
      <c r="C10" s="6"/>
      <c r="D10" s="7"/>
      <c r="E10" s="8">
        <f t="shared" si="0"/>
        <v>891.45000000000073</v>
      </c>
      <c r="F10" s="16">
        <v>541</v>
      </c>
      <c r="G10" s="10"/>
      <c r="H10" s="6">
        <f t="shared" si="1"/>
        <v>541</v>
      </c>
      <c r="I10" s="11">
        <v>186165</v>
      </c>
      <c r="J10" s="11">
        <f t="shared" si="2"/>
        <v>186165</v>
      </c>
    </row>
    <row r="11" spans="1:10" ht="21" x14ac:dyDescent="0.35">
      <c r="A11" s="12" t="s">
        <v>19</v>
      </c>
      <c r="B11" s="7">
        <v>3569.09</v>
      </c>
      <c r="C11" s="6"/>
      <c r="D11" s="7"/>
      <c r="E11" s="8">
        <f t="shared" si="0"/>
        <v>3569.09</v>
      </c>
      <c r="F11" s="16">
        <v>447</v>
      </c>
      <c r="G11" s="10"/>
      <c r="H11" s="6">
        <f t="shared" si="1"/>
        <v>447</v>
      </c>
      <c r="I11" s="11">
        <v>208765.69</v>
      </c>
      <c r="J11" s="11">
        <f t="shared" si="2"/>
        <v>208765.69</v>
      </c>
    </row>
    <row r="12" spans="1:10" ht="21" x14ac:dyDescent="0.35">
      <c r="A12" s="19" t="s">
        <v>21</v>
      </c>
      <c r="B12" s="29">
        <v>6807.2999999999956</v>
      </c>
      <c r="C12" s="6"/>
      <c r="D12" s="7"/>
      <c r="E12" s="8">
        <f t="shared" si="0"/>
        <v>6807.2999999999956</v>
      </c>
      <c r="F12" s="16">
        <v>463</v>
      </c>
      <c r="G12" s="10"/>
      <c r="H12" s="6">
        <f t="shared" si="1"/>
        <v>463</v>
      </c>
      <c r="I12" s="11">
        <v>324101</v>
      </c>
      <c r="J12" s="11">
        <f t="shared" si="2"/>
        <v>324101</v>
      </c>
    </row>
    <row r="13" spans="1:10" ht="21" x14ac:dyDescent="0.35">
      <c r="A13" s="12" t="s">
        <v>24</v>
      </c>
      <c r="B13" s="20">
        <v>4233.1200000000026</v>
      </c>
      <c r="C13" s="30"/>
      <c r="D13" s="7"/>
      <c r="E13" s="8">
        <f t="shared" si="0"/>
        <v>4233.1200000000026</v>
      </c>
      <c r="F13" s="16">
        <v>314</v>
      </c>
      <c r="G13" s="10"/>
      <c r="H13" s="6">
        <f t="shared" si="1"/>
        <v>314</v>
      </c>
      <c r="I13" s="11">
        <v>208208.45</v>
      </c>
      <c r="J13" s="11">
        <f t="shared" si="2"/>
        <v>208208.45</v>
      </c>
    </row>
    <row r="14" spans="1:10" ht="21" x14ac:dyDescent="0.35">
      <c r="A14" s="12" t="s">
        <v>25</v>
      </c>
      <c r="B14" s="20">
        <v>5385.6200000000026</v>
      </c>
      <c r="C14" s="6">
        <v>2900</v>
      </c>
      <c r="D14" s="7"/>
      <c r="E14" s="8">
        <f t="shared" si="0"/>
        <v>8285.6200000000026</v>
      </c>
      <c r="F14" s="16">
        <v>380</v>
      </c>
      <c r="G14" s="10">
        <v>10</v>
      </c>
      <c r="H14" s="6">
        <f t="shared" si="1"/>
        <v>390</v>
      </c>
      <c r="I14" s="11">
        <v>195305.61</v>
      </c>
      <c r="J14" s="11">
        <f t="shared" si="2"/>
        <v>198205.61</v>
      </c>
    </row>
    <row r="15" spans="1:10" ht="21" x14ac:dyDescent="0.35">
      <c r="A15" s="12" t="s">
        <v>26</v>
      </c>
      <c r="B15" s="20">
        <v>3277.3000000000029</v>
      </c>
      <c r="C15" s="6">
        <v>1966</v>
      </c>
      <c r="D15" s="7"/>
      <c r="E15" s="8">
        <f t="shared" si="0"/>
        <v>5243.3000000000029</v>
      </c>
      <c r="F15" s="16">
        <v>392</v>
      </c>
      <c r="G15" s="10">
        <v>2</v>
      </c>
      <c r="H15" s="6">
        <f t="shared" si="1"/>
        <v>394</v>
      </c>
      <c r="I15" s="11">
        <v>170475</v>
      </c>
      <c r="J15" s="11">
        <f t="shared" si="2"/>
        <v>172441</v>
      </c>
    </row>
    <row r="16" spans="1:10" ht="21" x14ac:dyDescent="0.35">
      <c r="A16" s="12" t="s">
        <v>28</v>
      </c>
      <c r="B16" s="20">
        <v>5977.0400000000009</v>
      </c>
      <c r="C16" s="6"/>
      <c r="D16" s="7"/>
      <c r="E16" s="8">
        <f t="shared" si="0"/>
        <v>5977.0400000000009</v>
      </c>
      <c r="F16" s="16">
        <v>483</v>
      </c>
      <c r="G16" s="10"/>
      <c r="H16" s="6">
        <f t="shared" si="1"/>
        <v>483</v>
      </c>
      <c r="I16" s="11">
        <v>226422</v>
      </c>
      <c r="J16" s="11">
        <f t="shared" si="2"/>
        <v>226422</v>
      </c>
    </row>
    <row r="17" spans="1:10" ht="21" x14ac:dyDescent="0.35">
      <c r="A17" s="12" t="s">
        <v>29</v>
      </c>
      <c r="B17" s="20">
        <v>13028.630000000001</v>
      </c>
      <c r="C17" s="6"/>
      <c r="D17" s="7"/>
      <c r="E17" s="8">
        <f t="shared" si="0"/>
        <v>13028.630000000001</v>
      </c>
      <c r="F17" s="16">
        <v>303</v>
      </c>
      <c r="G17" s="10"/>
      <c r="H17" s="6">
        <f t="shared" si="1"/>
        <v>303</v>
      </c>
      <c r="I17" s="11">
        <v>198330</v>
      </c>
      <c r="J17" s="11">
        <f t="shared" si="2"/>
        <v>198330</v>
      </c>
    </row>
    <row r="18" spans="1:10" ht="21" x14ac:dyDescent="0.35">
      <c r="A18" s="12" t="s">
        <v>30</v>
      </c>
      <c r="B18" s="20">
        <v>7188.8600000000006</v>
      </c>
      <c r="C18" s="6"/>
      <c r="D18" s="7"/>
      <c r="E18" s="8">
        <f t="shared" si="0"/>
        <v>7188.8600000000006</v>
      </c>
      <c r="F18" s="16">
        <v>399</v>
      </c>
      <c r="G18" s="10"/>
      <c r="H18" s="6">
        <f t="shared" si="1"/>
        <v>399</v>
      </c>
      <c r="I18" s="11">
        <v>244607</v>
      </c>
      <c r="J18" s="11">
        <f t="shared" si="2"/>
        <v>244607</v>
      </c>
    </row>
    <row r="19" spans="1:10" ht="21" x14ac:dyDescent="0.35">
      <c r="A19" s="12" t="s">
        <v>31</v>
      </c>
      <c r="B19" s="20">
        <v>1164.5500000000029</v>
      </c>
      <c r="C19" s="6"/>
      <c r="D19" s="7"/>
      <c r="E19" s="8">
        <f t="shared" si="0"/>
        <v>1164.5500000000029</v>
      </c>
      <c r="F19" s="16">
        <v>449</v>
      </c>
      <c r="G19" s="10"/>
      <c r="H19" s="6">
        <f t="shared" si="1"/>
        <v>449</v>
      </c>
      <c r="I19" s="11">
        <v>256246</v>
      </c>
      <c r="J19" s="11">
        <f t="shared" si="2"/>
        <v>256246</v>
      </c>
    </row>
    <row r="20" spans="1:10" ht="21" x14ac:dyDescent="0.35">
      <c r="A20" s="12" t="s">
        <v>32</v>
      </c>
      <c r="B20" s="20">
        <v>3238.0599999999977</v>
      </c>
      <c r="C20" s="6">
        <v>2207</v>
      </c>
      <c r="D20" s="7"/>
      <c r="E20" s="8">
        <f t="shared" si="0"/>
        <v>5445.0599999999977</v>
      </c>
      <c r="F20" s="16">
        <v>320</v>
      </c>
      <c r="G20" s="10">
        <v>6</v>
      </c>
      <c r="H20" s="6">
        <f t="shared" si="1"/>
        <v>326</v>
      </c>
      <c r="I20" s="11">
        <v>262768</v>
      </c>
      <c r="J20" s="11">
        <f t="shared" si="2"/>
        <v>264975</v>
      </c>
    </row>
    <row r="21" spans="1:10" ht="21" x14ac:dyDescent="0.35">
      <c r="A21" s="12" t="s">
        <v>33</v>
      </c>
      <c r="B21" s="13">
        <v>10965.66</v>
      </c>
      <c r="C21" s="6">
        <v>1115</v>
      </c>
      <c r="D21" s="7"/>
      <c r="E21" s="8">
        <f t="shared" si="0"/>
        <v>12080.66</v>
      </c>
      <c r="F21" s="16">
        <v>403</v>
      </c>
      <c r="G21" s="10">
        <v>1</v>
      </c>
      <c r="H21" s="6">
        <f t="shared" si="1"/>
        <v>404</v>
      </c>
      <c r="I21" s="11">
        <v>199894</v>
      </c>
      <c r="J21" s="11">
        <f t="shared" si="2"/>
        <v>201009</v>
      </c>
    </row>
    <row r="22" spans="1:10" ht="21" x14ac:dyDescent="0.35">
      <c r="A22" s="12" t="s">
        <v>34</v>
      </c>
      <c r="B22" s="20">
        <v>12313.760000000002</v>
      </c>
      <c r="C22" s="6"/>
      <c r="D22" s="7"/>
      <c r="E22" s="8">
        <f t="shared" si="0"/>
        <v>12313.760000000002</v>
      </c>
      <c r="F22" s="16">
        <v>304</v>
      </c>
      <c r="G22" s="10"/>
      <c r="H22" s="6">
        <f t="shared" si="1"/>
        <v>304</v>
      </c>
      <c r="I22" s="11">
        <v>239838</v>
      </c>
      <c r="J22" s="11">
        <f t="shared" si="2"/>
        <v>239838</v>
      </c>
    </row>
    <row r="23" spans="1:10" ht="21" x14ac:dyDescent="0.35">
      <c r="A23" s="12" t="s">
        <v>35</v>
      </c>
      <c r="B23" s="20">
        <v>2303.7599999999948</v>
      </c>
      <c r="C23" s="6">
        <v>1000</v>
      </c>
      <c r="D23" s="7"/>
      <c r="E23" s="8">
        <f t="shared" si="0"/>
        <v>3303.7599999999948</v>
      </c>
      <c r="F23" s="16">
        <v>594</v>
      </c>
      <c r="G23" s="10">
        <v>1</v>
      </c>
      <c r="H23" s="6">
        <f t="shared" si="1"/>
        <v>595</v>
      </c>
      <c r="I23" s="11">
        <v>279184</v>
      </c>
      <c r="J23" s="11">
        <f t="shared" si="2"/>
        <v>280184</v>
      </c>
    </row>
    <row r="24" spans="1:10" ht="21" x14ac:dyDescent="0.35">
      <c r="A24" s="12" t="s">
        <v>36</v>
      </c>
      <c r="B24" s="22">
        <v>457.90999999999622</v>
      </c>
      <c r="C24" s="6">
        <v>3150</v>
      </c>
      <c r="D24" s="7">
        <v>1743</v>
      </c>
      <c r="E24" s="8">
        <f t="shared" si="0"/>
        <v>1864.9099999999962</v>
      </c>
      <c r="F24" s="16">
        <v>422</v>
      </c>
      <c r="G24" s="10">
        <v>9</v>
      </c>
      <c r="H24" s="6">
        <f t="shared" si="1"/>
        <v>431</v>
      </c>
      <c r="I24" s="11">
        <v>278685</v>
      </c>
      <c r="J24" s="11">
        <f t="shared" si="2"/>
        <v>281835</v>
      </c>
    </row>
    <row r="25" spans="1:10" ht="21.75" thickBot="1" x14ac:dyDescent="0.45">
      <c r="A25" s="1"/>
      <c r="B25" s="24">
        <f>SUM(B3:B24)</f>
        <v>189230.97</v>
      </c>
      <c r="C25" s="25">
        <f>SUM(C3:C24)</f>
        <v>21865</v>
      </c>
      <c r="D25" s="26">
        <f>SUM(D3:D24)</f>
        <v>33288</v>
      </c>
      <c r="E25" s="8">
        <f>SUM(E3:E24)</f>
        <v>177807.97</v>
      </c>
      <c r="F25" s="1"/>
      <c r="G25" s="1"/>
      <c r="H25" s="1"/>
      <c r="I25" s="27"/>
      <c r="J25" s="27">
        <f>SUM(J3:J24)</f>
        <v>6360447.6899999995</v>
      </c>
    </row>
    <row r="26" spans="1:10" ht="15.75" thickTop="1" x14ac:dyDescent="0.15"/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12</vt:i4>
      </vt:variant>
    </vt:vector>
  </HeadingPairs>
  <TitlesOfParts>
    <vt:vector size="12" baseType="lpstr">
      <vt:lpstr>0204</vt:lpstr>
      <vt:lpstr>1204</vt:lpstr>
      <vt:lpstr>2404</vt:lpstr>
      <vt:lpstr>2704</vt:lpstr>
      <vt:lpstr>3004</vt:lpstr>
      <vt:lpstr>0405</vt:lpstr>
      <vt:lpstr>0805</vt:lpstr>
      <vt:lpstr>0905</vt:lpstr>
      <vt:lpstr>1805</vt:lpstr>
      <vt:lpstr>2305</vt:lpstr>
      <vt:lpstr>3005</vt:lpstr>
      <vt:lpstr>3105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พันธ์ทิพย์ ศรีษเกตุ</dc:creator>
  <cp:lastModifiedBy>พันธ์ทิพย์ ศรีษเกตุ</cp:lastModifiedBy>
  <dcterms:created xsi:type="dcterms:W3CDTF">2026-04-02T12:32:10Z</dcterms:created>
  <dcterms:modified xsi:type="dcterms:W3CDTF">2026-06-01T05:09:47Z</dcterms:modified>
</cp:coreProperties>
</file>