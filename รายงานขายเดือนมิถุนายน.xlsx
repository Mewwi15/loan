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nthipmac/Documents/"/>
    </mc:Choice>
  </mc:AlternateContent>
  <xr:revisionPtr revIDLastSave="0" documentId="8_{314E1E02-116D-AA48-96FA-F45D40544502}" xr6:coauthVersionLast="47" xr6:coauthVersionMax="47" xr10:uidLastSave="{00000000-0000-0000-0000-000000000000}"/>
  <bookViews>
    <workbookView xWindow="0" yWindow="740" windowWidth="29400" windowHeight="18380" xr2:uid="{97F6F9C8-E563-424D-9CDF-E731D5EFCA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C25" i="1"/>
  <c r="B25" i="1"/>
  <c r="J24" i="1"/>
  <c r="H24" i="1"/>
  <c r="E24" i="1"/>
  <c r="J23" i="1"/>
  <c r="H23" i="1"/>
  <c r="E23" i="1"/>
  <c r="J22" i="1"/>
  <c r="H22" i="1"/>
  <c r="E22" i="1"/>
  <c r="J21" i="1"/>
  <c r="H21" i="1"/>
  <c r="E21" i="1"/>
  <c r="J20" i="1"/>
  <c r="H20" i="1"/>
  <c r="E20" i="1"/>
  <c r="J19" i="1"/>
  <c r="H19" i="1"/>
  <c r="E19" i="1"/>
  <c r="J18" i="1"/>
  <c r="H18" i="1"/>
  <c r="E18" i="1"/>
  <c r="J17" i="1"/>
  <c r="H17" i="1"/>
  <c r="E17" i="1"/>
  <c r="J16" i="1"/>
  <c r="H16" i="1"/>
  <c r="E16" i="1"/>
  <c r="J15" i="1"/>
  <c r="H15" i="1"/>
  <c r="E15" i="1"/>
  <c r="J14" i="1"/>
  <c r="H14" i="1"/>
  <c r="E14" i="1"/>
  <c r="J13" i="1"/>
  <c r="H13" i="1"/>
  <c r="E13" i="1"/>
  <c r="J12" i="1"/>
  <c r="H12" i="1"/>
  <c r="E12" i="1"/>
  <c r="J11" i="1"/>
  <c r="H11" i="1"/>
  <c r="E11" i="1"/>
  <c r="J10" i="1"/>
  <c r="H10" i="1"/>
  <c r="E10" i="1"/>
  <c r="J9" i="1"/>
  <c r="H9" i="1"/>
  <c r="E9" i="1"/>
  <c r="J8" i="1"/>
  <c r="H8" i="1"/>
  <c r="E8" i="1"/>
  <c r="J7" i="1"/>
  <c r="H7" i="1"/>
  <c r="E7" i="1"/>
  <c r="J6" i="1"/>
  <c r="H6" i="1"/>
  <c r="E6" i="1"/>
  <c r="J5" i="1"/>
  <c r="H5" i="1"/>
  <c r="E5" i="1"/>
  <c r="J4" i="1"/>
  <c r="H4" i="1"/>
  <c r="E4" i="1"/>
  <c r="J3" i="1"/>
  <c r="J25" i="1" s="1"/>
  <c r="H3" i="1"/>
  <c r="E3" i="1"/>
  <c r="E25" i="1" s="1"/>
</calcChain>
</file>

<file path=xl/sharedStrings.xml><?xml version="1.0" encoding="utf-8"?>
<sst xmlns="http://schemas.openxmlformats.org/spreadsheetml/2006/main" count="33" uniqueCount="33">
  <si>
    <t>วันที่ _31/5/69</t>
  </si>
  <si>
    <t>ธนาคาร</t>
  </si>
  <si>
    <t>ยอดยกมา</t>
  </si>
  <si>
    <t>ยอดรับโอน</t>
  </si>
  <si>
    <t>ยอดหักถอน</t>
  </si>
  <si>
    <t>ยอดคงเหลือ</t>
  </si>
  <si>
    <t>จำนวนครั้ง
ยกมา</t>
  </si>
  <si>
    <t>จำนวนครั้ง</t>
  </si>
  <si>
    <t>จำนวนครั้ง
สะสม</t>
  </si>
  <si>
    <t>ยอดสะสม</t>
  </si>
  <si>
    <t>ยอดสะสม
คงเหลือ</t>
  </si>
  <si>
    <t xml:space="preserve">กสิกร จุ๊บ  💚 </t>
  </si>
  <si>
    <t xml:space="preserve">กรุงเทพจุ๊บ  💙 </t>
  </si>
  <si>
    <t xml:space="preserve">scb จุ๊บ 💜 </t>
  </si>
  <si>
    <t>เกียรตินาคินจุ๊บ  🩶</t>
  </si>
  <si>
    <t xml:space="preserve"> TTB จุ๊บ  🧡 </t>
  </si>
  <si>
    <t xml:space="preserve">กรุงไทยจุ๊บ  🩵 </t>
  </si>
  <si>
    <t>ออมสินจุ๊บ  🩷</t>
  </si>
  <si>
    <t>ธอส.จุ๊บ  ❤️</t>
  </si>
  <si>
    <t>ธกส.จุ๊บ  🤎</t>
  </si>
  <si>
    <t xml:space="preserve"> กรุงศรีจุ๊บ  💛</t>
  </si>
  <si>
    <t xml:space="preserve">กรุงไทยมอส  🩵 </t>
  </si>
  <si>
    <t xml:space="preserve">กรุงศรีมอส  💛 </t>
  </si>
  <si>
    <t xml:space="preserve">กสิกรมอส  💚 </t>
  </si>
  <si>
    <t xml:space="preserve">กรุงเทพ มอส  💙 </t>
  </si>
  <si>
    <t xml:space="preserve">SCB มอส  💜 </t>
  </si>
  <si>
    <t xml:space="preserve">ออมสินมอส  🩷 </t>
  </si>
  <si>
    <t xml:space="preserve">กรุงเทพมิว  💙 </t>
  </si>
  <si>
    <t xml:space="preserve">TTB มิว  🧡 </t>
  </si>
  <si>
    <t xml:space="preserve">กรุงศรีมิว  💛 </t>
  </si>
  <si>
    <t xml:space="preserve">ออมสินมิว  🩷 </t>
  </si>
  <si>
    <t xml:space="preserve">กรุงไทยมิว  🩵 </t>
  </si>
  <si>
    <t xml:space="preserve">กสิกรจำปา  💚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</si>
</sst>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87" formatCode="_(* #,##0_);_(* \(#,##0\);_(* &quot;-&quot;??_);_(@_)"/>
    <numFmt numFmtId="188" formatCode="_(* #,##0.000_);_(* \(#,##0.000\);_(* &quot;-&quot;??_);_(@_)"/>
  </numFmts>
  <fonts count="3" x14ac:knownFonts="1">
    <font>
      <sz val="12"/>
      <color theme="1"/>
      <name val="Tahoma"/>
      <family val="2"/>
      <charset val="222"/>
      <scheme val="minor"/>
    </font>
    <font>
      <sz val="14"/>
      <color rgb="FF000000"/>
      <name val="Angsana New"/>
      <family val="1"/>
    </font>
    <font>
      <sz val="14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double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/>
    <xf numFmtId="43" fontId="1" fillId="0" borderId="3" xfId="0" applyNumberFormat="1" applyFont="1" applyBorder="1"/>
    <xf numFmtId="187" fontId="1" fillId="0" borderId="4" xfId="0" applyNumberFormat="1" applyFont="1" applyBorder="1"/>
    <xf numFmtId="4" fontId="1" fillId="0" borderId="4" xfId="0" applyNumberFormat="1" applyFont="1" applyBorder="1"/>
    <xf numFmtId="0" fontId="1" fillId="0" borderId="3" xfId="0" applyFont="1" applyBorder="1"/>
    <xf numFmtId="187" fontId="1" fillId="0" borderId="5" xfId="0" applyNumberFormat="1" applyFont="1" applyBorder="1"/>
    <xf numFmtId="3" fontId="1" fillId="0" borderId="3" xfId="0" applyNumberFormat="1" applyFont="1" applyBorder="1"/>
    <xf numFmtId="0" fontId="1" fillId="2" borderId="6" xfId="0" applyFont="1" applyFill="1" applyBorder="1"/>
    <xf numFmtId="0" fontId="1" fillId="0" borderId="6" xfId="0" applyFont="1" applyBorder="1"/>
    <xf numFmtId="0" fontId="2" fillId="2" borderId="0" xfId="0" applyFont="1" applyFill="1"/>
    <xf numFmtId="188" fontId="1" fillId="0" borderId="3" xfId="0" applyNumberFormat="1" applyFont="1" applyBorder="1"/>
    <xf numFmtId="4" fontId="1" fillId="2" borderId="6" xfId="0" applyNumberFormat="1" applyFont="1" applyFill="1" applyBorder="1"/>
    <xf numFmtId="43" fontId="1" fillId="0" borderId="4" xfId="0" applyNumberFormat="1" applyFont="1" applyBorder="1"/>
    <xf numFmtId="4" fontId="1" fillId="0" borderId="6" xfId="0" applyNumberFormat="1" applyFont="1" applyBorder="1"/>
    <xf numFmtId="4" fontId="1" fillId="2" borderId="1" xfId="0" applyNumberFormat="1" applyFont="1" applyFill="1" applyBorder="1"/>
    <xf numFmtId="0" fontId="2" fillId="0" borderId="0" xfId="0" applyFont="1"/>
    <xf numFmtId="4" fontId="1" fillId="0" borderId="7" xfId="0" applyNumberFormat="1" applyFont="1" applyBorder="1"/>
    <xf numFmtId="187" fontId="1" fillId="0" borderId="8" xfId="0" applyNumberFormat="1" applyFont="1" applyBorder="1" applyAlignment="1">
      <alignment horizontal="right"/>
    </xf>
    <xf numFmtId="187" fontId="1" fillId="0" borderId="8" xfId="0" applyNumberFormat="1" applyFont="1" applyBorder="1"/>
    <xf numFmtId="3" fontId="2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439B-4229-D14C-B8A3-2ED344AB089E}">
  <dimension ref="A1:J26"/>
  <sheetViews>
    <sheetView tabSelected="1" workbookViewId="0">
      <selection activeCell="L5" sqref="L5"/>
    </sheetView>
  </sheetViews>
  <sheetFormatPr baseColWidth="10" defaultColWidth="8.7109375" defaultRowHeight="15" x14ac:dyDescent="0.15"/>
  <cols>
    <col min="1" max="1" width="12.85546875" customWidth="1"/>
  </cols>
  <sheetData>
    <row r="1" spans="1:10" ht="2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4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3" t="s">
        <v>10</v>
      </c>
    </row>
    <row r="3" spans="1:10" ht="21" x14ac:dyDescent="0.35">
      <c r="A3" s="4" t="s">
        <v>11</v>
      </c>
      <c r="B3" s="5">
        <v>31398.43</v>
      </c>
      <c r="C3" s="6">
        <v>168365</v>
      </c>
      <c r="D3" s="5">
        <v>158287.67000000001</v>
      </c>
      <c r="E3" s="7">
        <f t="shared" ref="E3:E24" si="0">B3+C3-D3</f>
        <v>41475.75999999998</v>
      </c>
      <c r="F3" s="8">
        <v>23</v>
      </c>
      <c r="G3" s="9">
        <v>8</v>
      </c>
      <c r="H3" s="6">
        <f t="shared" ref="H3:H24" si="1">F3+G3</f>
        <v>31</v>
      </c>
      <c r="I3" s="10">
        <v>537590</v>
      </c>
      <c r="J3" s="10">
        <f>I3+C3</f>
        <v>705955</v>
      </c>
    </row>
    <row r="4" spans="1:10" ht="21" x14ac:dyDescent="0.35">
      <c r="A4" s="11" t="s">
        <v>12</v>
      </c>
      <c r="B4" s="5">
        <v>3939.04</v>
      </c>
      <c r="C4" s="6">
        <v>39436.94</v>
      </c>
      <c r="D4" s="5">
        <v>35940</v>
      </c>
      <c r="E4" s="7">
        <f t="shared" si="0"/>
        <v>7435.9800000000032</v>
      </c>
      <c r="F4" s="12">
        <v>174</v>
      </c>
      <c r="G4" s="9">
        <v>169</v>
      </c>
      <c r="H4" s="6">
        <f t="shared" si="1"/>
        <v>343</v>
      </c>
      <c r="I4" s="10">
        <v>159860</v>
      </c>
      <c r="J4" s="10">
        <f t="shared" ref="J4:J24" si="2">I4+C4</f>
        <v>199296.94</v>
      </c>
    </row>
    <row r="5" spans="1:10" ht="21" x14ac:dyDescent="0.35">
      <c r="A5" s="11" t="s">
        <v>13</v>
      </c>
      <c r="B5" s="5">
        <v>7677.99</v>
      </c>
      <c r="C5" s="6">
        <v>285354.2</v>
      </c>
      <c r="D5" s="5">
        <v>240535.55</v>
      </c>
      <c r="E5" s="7">
        <f t="shared" si="0"/>
        <v>52496.640000000014</v>
      </c>
      <c r="F5" s="12">
        <v>85</v>
      </c>
      <c r="G5" s="9">
        <v>118</v>
      </c>
      <c r="H5" s="6">
        <f t="shared" si="1"/>
        <v>203</v>
      </c>
      <c r="I5" s="10">
        <v>288951.8</v>
      </c>
      <c r="J5" s="10">
        <f t="shared" si="2"/>
        <v>574306</v>
      </c>
    </row>
    <row r="6" spans="1:10" ht="21" x14ac:dyDescent="0.35">
      <c r="A6" s="11" t="s">
        <v>14</v>
      </c>
      <c r="B6" s="5">
        <v>2980.72</v>
      </c>
      <c r="C6" s="6">
        <v>42980</v>
      </c>
      <c r="D6" s="5">
        <v>44521</v>
      </c>
      <c r="E6" s="7">
        <f t="shared" si="0"/>
        <v>1439.7200000000012</v>
      </c>
      <c r="F6" s="12">
        <v>378</v>
      </c>
      <c r="G6" s="9">
        <v>108</v>
      </c>
      <c r="H6" s="6">
        <f t="shared" si="1"/>
        <v>486</v>
      </c>
      <c r="I6" s="10">
        <v>168134</v>
      </c>
      <c r="J6" s="10">
        <f t="shared" si="2"/>
        <v>211114</v>
      </c>
    </row>
    <row r="7" spans="1:10" ht="21" x14ac:dyDescent="0.35">
      <c r="A7" s="11" t="s">
        <v>15</v>
      </c>
      <c r="B7" s="5">
        <v>19607.72</v>
      </c>
      <c r="C7" s="6">
        <v>100000</v>
      </c>
      <c r="D7" s="5">
        <v>119116</v>
      </c>
      <c r="E7" s="7">
        <f t="shared" si="0"/>
        <v>491.72000000000116</v>
      </c>
      <c r="F7" s="12">
        <v>86</v>
      </c>
      <c r="G7" s="9">
        <v>13</v>
      </c>
      <c r="H7" s="6">
        <f t="shared" si="1"/>
        <v>99</v>
      </c>
      <c r="I7" s="10">
        <v>534703</v>
      </c>
      <c r="J7" s="10">
        <f t="shared" si="2"/>
        <v>634703</v>
      </c>
    </row>
    <row r="8" spans="1:10" ht="21" x14ac:dyDescent="0.35">
      <c r="A8" s="11" t="s">
        <v>16</v>
      </c>
      <c r="B8" s="5">
        <v>5205.97</v>
      </c>
      <c r="C8" s="6">
        <v>25955</v>
      </c>
      <c r="D8" s="5">
        <v>29669.84</v>
      </c>
      <c r="E8" s="7">
        <f t="shared" si="0"/>
        <v>1491.130000000001</v>
      </c>
      <c r="F8" s="12">
        <v>465</v>
      </c>
      <c r="G8" s="9">
        <v>54</v>
      </c>
      <c r="H8" s="6">
        <f t="shared" si="1"/>
        <v>519</v>
      </c>
      <c r="I8" s="10">
        <v>170698</v>
      </c>
      <c r="J8" s="10">
        <f t="shared" si="2"/>
        <v>196653</v>
      </c>
    </row>
    <row r="9" spans="1:10" ht="21" x14ac:dyDescent="0.35">
      <c r="A9" s="11" t="s">
        <v>17</v>
      </c>
      <c r="B9" s="5">
        <v>8305.27</v>
      </c>
      <c r="C9" s="6">
        <v>54281</v>
      </c>
      <c r="D9" s="5">
        <v>58988.36</v>
      </c>
      <c r="E9" s="7">
        <f t="shared" si="0"/>
        <v>3597.9100000000035</v>
      </c>
      <c r="F9" s="12">
        <v>276</v>
      </c>
      <c r="G9" s="9">
        <v>67</v>
      </c>
      <c r="H9" s="6">
        <f t="shared" si="1"/>
        <v>343</v>
      </c>
      <c r="I9" s="10">
        <v>283279</v>
      </c>
      <c r="J9" s="10">
        <f t="shared" si="2"/>
        <v>337560</v>
      </c>
    </row>
    <row r="10" spans="1:10" ht="21" x14ac:dyDescent="0.35">
      <c r="A10" s="11" t="s">
        <v>18</v>
      </c>
      <c r="B10" s="5">
        <v>5501.45</v>
      </c>
      <c r="C10" s="6">
        <v>13545</v>
      </c>
      <c r="D10" s="5">
        <v>18155</v>
      </c>
      <c r="E10" s="7">
        <f t="shared" si="0"/>
        <v>891.45000000000073</v>
      </c>
      <c r="F10" s="12">
        <v>497</v>
      </c>
      <c r="G10" s="9">
        <v>44</v>
      </c>
      <c r="H10" s="6">
        <f t="shared" si="1"/>
        <v>541</v>
      </c>
      <c r="I10" s="10">
        <v>172620</v>
      </c>
      <c r="J10" s="10">
        <f t="shared" si="2"/>
        <v>186165</v>
      </c>
    </row>
    <row r="11" spans="1:10" ht="21" x14ac:dyDescent="0.35">
      <c r="A11" s="11" t="s">
        <v>19</v>
      </c>
      <c r="B11" s="5">
        <v>3134.09</v>
      </c>
      <c r="C11" s="6">
        <v>11970</v>
      </c>
      <c r="D11" s="5">
        <v>11535</v>
      </c>
      <c r="E11" s="7">
        <f t="shared" si="0"/>
        <v>3569.09</v>
      </c>
      <c r="F11" s="12">
        <v>409</v>
      </c>
      <c r="G11" s="9">
        <v>38</v>
      </c>
      <c r="H11" s="6">
        <f t="shared" si="1"/>
        <v>447</v>
      </c>
      <c r="I11" s="10">
        <v>196795.69</v>
      </c>
      <c r="J11" s="10">
        <f t="shared" si="2"/>
        <v>208765.69</v>
      </c>
    </row>
    <row r="12" spans="1:10" ht="21" x14ac:dyDescent="0.35">
      <c r="A12" s="13" t="s">
        <v>20</v>
      </c>
      <c r="B12" s="14">
        <v>2980.84</v>
      </c>
      <c r="C12" s="6">
        <v>48206</v>
      </c>
      <c r="D12" s="5">
        <v>44379.54</v>
      </c>
      <c r="E12" s="7">
        <f t="shared" si="0"/>
        <v>6807.2999999999956</v>
      </c>
      <c r="F12" s="12">
        <v>408</v>
      </c>
      <c r="G12" s="9">
        <v>55</v>
      </c>
      <c r="H12" s="6">
        <f t="shared" si="1"/>
        <v>463</v>
      </c>
      <c r="I12" s="10">
        <v>275895</v>
      </c>
      <c r="J12" s="10">
        <f t="shared" si="2"/>
        <v>324101</v>
      </c>
    </row>
    <row r="13" spans="1:10" ht="21" x14ac:dyDescent="0.35">
      <c r="A13" s="11" t="s">
        <v>21</v>
      </c>
      <c r="B13" s="15">
        <v>13896.420000000002</v>
      </c>
      <c r="C13" s="16">
        <v>13523</v>
      </c>
      <c r="D13" s="5">
        <v>23186.3</v>
      </c>
      <c r="E13" s="7">
        <f t="shared" si="0"/>
        <v>4233.1200000000026</v>
      </c>
      <c r="F13" s="12">
        <v>291</v>
      </c>
      <c r="G13" s="9">
        <v>23</v>
      </c>
      <c r="H13" s="6">
        <f t="shared" si="1"/>
        <v>314</v>
      </c>
      <c r="I13" s="10">
        <v>194685.45</v>
      </c>
      <c r="J13" s="10">
        <f t="shared" si="2"/>
        <v>208208.45</v>
      </c>
    </row>
    <row r="14" spans="1:10" ht="21" x14ac:dyDescent="0.35">
      <c r="A14" s="11" t="s">
        <v>22</v>
      </c>
      <c r="B14" s="15">
        <v>5713.6200000000026</v>
      </c>
      <c r="C14" s="6">
        <v>9096</v>
      </c>
      <c r="D14" s="5">
        <v>9424</v>
      </c>
      <c r="E14" s="7">
        <f t="shared" si="0"/>
        <v>5385.6200000000026</v>
      </c>
      <c r="F14" s="12">
        <v>352</v>
      </c>
      <c r="G14" s="9">
        <v>28</v>
      </c>
      <c r="H14" s="6">
        <f t="shared" si="1"/>
        <v>380</v>
      </c>
      <c r="I14" s="10">
        <v>186209.61</v>
      </c>
      <c r="J14" s="10">
        <f t="shared" si="2"/>
        <v>195305.61</v>
      </c>
    </row>
    <row r="15" spans="1:10" ht="21" x14ac:dyDescent="0.35">
      <c r="A15" s="11" t="s">
        <v>23</v>
      </c>
      <c r="B15" s="15">
        <v>5337.5500000000029</v>
      </c>
      <c r="C15" s="6">
        <v>1966</v>
      </c>
      <c r="D15" s="5">
        <v>4026.25</v>
      </c>
      <c r="E15" s="7">
        <f t="shared" si="0"/>
        <v>3277.3000000000029</v>
      </c>
      <c r="F15" s="12">
        <v>390</v>
      </c>
      <c r="G15" s="9">
        <v>2</v>
      </c>
      <c r="H15" s="6">
        <f t="shared" si="1"/>
        <v>392</v>
      </c>
      <c r="I15" s="10">
        <v>168509</v>
      </c>
      <c r="J15" s="10">
        <f t="shared" si="2"/>
        <v>170475</v>
      </c>
    </row>
    <row r="16" spans="1:10" ht="21" x14ac:dyDescent="0.35">
      <c r="A16" s="11" t="s">
        <v>24</v>
      </c>
      <c r="B16" s="15">
        <v>5969.0400000000009</v>
      </c>
      <c r="C16" s="6">
        <v>5018</v>
      </c>
      <c r="D16" s="5">
        <v>5010</v>
      </c>
      <c r="E16" s="7">
        <f t="shared" si="0"/>
        <v>5977.0400000000009</v>
      </c>
      <c r="F16" s="12">
        <v>479</v>
      </c>
      <c r="G16" s="9">
        <v>4</v>
      </c>
      <c r="H16" s="6">
        <f t="shared" si="1"/>
        <v>483</v>
      </c>
      <c r="I16" s="10">
        <v>221404</v>
      </c>
      <c r="J16" s="10">
        <f t="shared" si="2"/>
        <v>226422</v>
      </c>
    </row>
    <row r="17" spans="1:10" ht="21" x14ac:dyDescent="0.35">
      <c r="A17" s="11" t="s">
        <v>25</v>
      </c>
      <c r="B17" s="15">
        <v>15817.630000000001</v>
      </c>
      <c r="C17" s="6">
        <v>12211</v>
      </c>
      <c r="D17" s="5">
        <v>15000</v>
      </c>
      <c r="E17" s="7">
        <f t="shared" si="0"/>
        <v>13028.630000000001</v>
      </c>
      <c r="F17" s="12">
        <v>280</v>
      </c>
      <c r="G17" s="9">
        <v>23</v>
      </c>
      <c r="H17" s="6">
        <f t="shared" si="1"/>
        <v>303</v>
      </c>
      <c r="I17" s="10">
        <v>186119</v>
      </c>
      <c r="J17" s="10">
        <f t="shared" si="2"/>
        <v>198330</v>
      </c>
    </row>
    <row r="18" spans="1:10" ht="21" x14ac:dyDescent="0.35">
      <c r="A18" s="11" t="s">
        <v>26</v>
      </c>
      <c r="B18" s="15">
        <v>6069.8600000000006</v>
      </c>
      <c r="C18" s="6">
        <v>10119</v>
      </c>
      <c r="D18" s="5">
        <v>9000</v>
      </c>
      <c r="E18" s="7">
        <f t="shared" si="0"/>
        <v>7188.8600000000006</v>
      </c>
      <c r="F18" s="12">
        <v>389</v>
      </c>
      <c r="G18" s="9">
        <v>10</v>
      </c>
      <c r="H18" s="6">
        <f t="shared" si="1"/>
        <v>399</v>
      </c>
      <c r="I18" s="10">
        <v>234488</v>
      </c>
      <c r="J18" s="10">
        <f t="shared" si="2"/>
        <v>244607</v>
      </c>
    </row>
    <row r="19" spans="1:10" ht="21" x14ac:dyDescent="0.35">
      <c r="A19" s="11" t="s">
        <v>27</v>
      </c>
      <c r="B19" s="15">
        <v>1384.5500000000029</v>
      </c>
      <c r="C19" s="6">
        <v>8780</v>
      </c>
      <c r="D19" s="5">
        <v>9000</v>
      </c>
      <c r="E19" s="7">
        <f t="shared" si="0"/>
        <v>1164.5500000000029</v>
      </c>
      <c r="F19" s="12">
        <v>432</v>
      </c>
      <c r="G19" s="9">
        <v>17</v>
      </c>
      <c r="H19" s="6">
        <f t="shared" si="1"/>
        <v>449</v>
      </c>
      <c r="I19" s="10">
        <v>247466</v>
      </c>
      <c r="J19" s="10">
        <f t="shared" si="2"/>
        <v>256246</v>
      </c>
    </row>
    <row r="20" spans="1:10" ht="21" x14ac:dyDescent="0.35">
      <c r="A20" s="11" t="s">
        <v>28</v>
      </c>
      <c r="B20" s="15">
        <v>8033.0599999999977</v>
      </c>
      <c r="C20" s="6">
        <v>7205</v>
      </c>
      <c r="D20" s="5">
        <v>12000</v>
      </c>
      <c r="E20" s="7">
        <f t="shared" si="0"/>
        <v>3238.0599999999977</v>
      </c>
      <c r="F20" s="12">
        <v>302</v>
      </c>
      <c r="G20" s="9">
        <v>18</v>
      </c>
      <c r="H20" s="6">
        <f t="shared" si="1"/>
        <v>320</v>
      </c>
      <c r="I20" s="10">
        <v>255563</v>
      </c>
      <c r="J20" s="10">
        <f t="shared" si="2"/>
        <v>262768</v>
      </c>
    </row>
    <row r="21" spans="1:10" ht="21" x14ac:dyDescent="0.35">
      <c r="A21" s="11" t="s">
        <v>29</v>
      </c>
      <c r="B21" s="17">
        <v>6400.66</v>
      </c>
      <c r="C21" s="6">
        <v>15565</v>
      </c>
      <c r="D21" s="5">
        <v>11000</v>
      </c>
      <c r="E21" s="7">
        <f t="shared" si="0"/>
        <v>10965.66</v>
      </c>
      <c r="F21" s="12">
        <v>376</v>
      </c>
      <c r="G21" s="9">
        <v>27</v>
      </c>
      <c r="H21" s="6">
        <f t="shared" si="1"/>
        <v>403</v>
      </c>
      <c r="I21" s="10">
        <v>184329</v>
      </c>
      <c r="J21" s="10">
        <f t="shared" si="2"/>
        <v>199894</v>
      </c>
    </row>
    <row r="22" spans="1:10" ht="21" x14ac:dyDescent="0.35">
      <c r="A22" s="11" t="s">
        <v>30</v>
      </c>
      <c r="B22" s="15">
        <v>10206.760000000002</v>
      </c>
      <c r="C22" s="6">
        <v>12107</v>
      </c>
      <c r="D22" s="5">
        <v>10000</v>
      </c>
      <c r="E22" s="7">
        <f t="shared" si="0"/>
        <v>12313.760000000002</v>
      </c>
      <c r="F22" s="12">
        <v>277</v>
      </c>
      <c r="G22" s="9">
        <v>27</v>
      </c>
      <c r="H22" s="6">
        <f t="shared" si="1"/>
        <v>304</v>
      </c>
      <c r="I22" s="10">
        <v>227731</v>
      </c>
      <c r="J22" s="10">
        <f t="shared" si="2"/>
        <v>239838</v>
      </c>
    </row>
    <row r="23" spans="1:10" ht="21" x14ac:dyDescent="0.35">
      <c r="A23" s="11" t="s">
        <v>31</v>
      </c>
      <c r="B23" s="15">
        <v>6608.7599999999948</v>
      </c>
      <c r="C23" s="6">
        <v>5695</v>
      </c>
      <c r="D23" s="5">
        <v>10000</v>
      </c>
      <c r="E23" s="7">
        <f t="shared" si="0"/>
        <v>2303.7599999999948</v>
      </c>
      <c r="F23" s="12">
        <v>589</v>
      </c>
      <c r="G23" s="9">
        <v>5</v>
      </c>
      <c r="H23" s="6">
        <f t="shared" si="1"/>
        <v>594</v>
      </c>
      <c r="I23" s="10">
        <v>273489</v>
      </c>
      <c r="J23" s="10">
        <f t="shared" si="2"/>
        <v>279184</v>
      </c>
    </row>
    <row r="24" spans="1:10" ht="21" x14ac:dyDescent="0.35">
      <c r="A24" s="11" t="s">
        <v>32</v>
      </c>
      <c r="B24" s="18">
        <v>1307.9099999999962</v>
      </c>
      <c r="C24" s="6">
        <v>3150</v>
      </c>
      <c r="D24" s="5">
        <v>4000</v>
      </c>
      <c r="E24" s="7">
        <f t="shared" si="0"/>
        <v>457.90999999999622</v>
      </c>
      <c r="F24" s="12">
        <v>412</v>
      </c>
      <c r="G24" s="9">
        <v>10</v>
      </c>
      <c r="H24" s="6">
        <f t="shared" si="1"/>
        <v>422</v>
      </c>
      <c r="I24" s="10">
        <v>275535</v>
      </c>
      <c r="J24" s="10">
        <f t="shared" si="2"/>
        <v>278685</v>
      </c>
    </row>
    <row r="25" spans="1:10" ht="22" thickBot="1" x14ac:dyDescent="0.4">
      <c r="A25" s="19"/>
      <c r="B25" s="20">
        <f>SUM(B3:B24)</f>
        <v>177477.34</v>
      </c>
      <c r="C25" s="21">
        <f>SUM(C3:C24)</f>
        <v>894528.14</v>
      </c>
      <c r="D25" s="22">
        <f>SUM(D3:D24)</f>
        <v>882774.51</v>
      </c>
      <c r="E25" s="7">
        <f>SUM(E3:E24)</f>
        <v>189230.97</v>
      </c>
      <c r="F25" s="19"/>
      <c r="G25" s="19"/>
      <c r="H25" s="19"/>
      <c r="I25" s="23"/>
      <c r="J25" s="23">
        <f>SUM(J3:J24)</f>
        <v>6338582.6899999995</v>
      </c>
    </row>
    <row r="26" spans="1:10" ht="16" thickTop="1" x14ac:dyDescent="0.15"/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พันธ์ทิพย์ ศรีษเกตุ</dc:creator>
  <cp:lastModifiedBy>พันธ์ทิพย์ ศรีษเกตุ</cp:lastModifiedBy>
  <dcterms:created xsi:type="dcterms:W3CDTF">2026-05-31T08:42:35Z</dcterms:created>
  <dcterms:modified xsi:type="dcterms:W3CDTF">2026-05-31T08:50:59Z</dcterms:modified>
</cp:coreProperties>
</file>